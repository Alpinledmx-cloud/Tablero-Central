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.Direccion Comercial\4-Tablero Central\"/>
    </mc:Choice>
  </mc:AlternateContent>
  <xr:revisionPtr revIDLastSave="0" documentId="14_{0326A51D-A15F-4205-BAF8-950BD917EBEC}" xr6:coauthVersionLast="47" xr6:coauthVersionMax="47" xr10:uidLastSave="{00000000-0000-0000-0000-000000000000}"/>
  <bookViews>
    <workbookView xWindow="20" yWindow="740" windowWidth="19180" windowHeight="11260" tabRatio="500" firstSheet="15" activeTab="15" xr2:uid="{00000000-000D-0000-FFFF-FFFF00000000}"/>
  </bookViews>
  <sheets>
    <sheet name="ENERO" sheetId="1" state="hidden" r:id="rId1"/>
    <sheet name="FEBRERO" sheetId="2" state="hidden" r:id="rId2"/>
    <sheet name="ESSENTIA FEB" sheetId="3" state="hidden" r:id="rId3"/>
    <sheet name="MARZO" sheetId="4" state="hidden" r:id="rId4"/>
    <sheet name="ESSENTIA MAR" sheetId="5" state="hidden" r:id="rId5"/>
    <sheet name="ABRIL" sheetId="6" state="hidden" r:id="rId6"/>
    <sheet name="ESSENTIA ABR" sheetId="7" state="hidden" r:id="rId7"/>
    <sheet name="MAYO" sheetId="8" state="hidden" r:id="rId8"/>
    <sheet name="ESSENTIA MAYO" sheetId="9" state="hidden" r:id="rId9"/>
    <sheet name="JUNIO" sheetId="10" state="hidden" r:id="rId10"/>
    <sheet name="JULIO" sheetId="11" state="hidden" r:id="rId11"/>
    <sheet name="AGOSTO " sheetId="12" state="hidden" r:id="rId12"/>
    <sheet name="SEPT" sheetId="13" state="hidden" r:id="rId13"/>
    <sheet name="Hoja1" sheetId="14" state="hidden" r:id="rId14"/>
    <sheet name="4o TRIM" sheetId="15" state="hidden" r:id="rId15"/>
    <sheet name="Bono" sheetId="16" r:id="rId16"/>
    <sheet name="Hoja2" sheetId="19" r:id="rId17"/>
    <sheet name="Check SONIA" sheetId="17" state="hidden" r:id="rId18"/>
    <sheet name="DICIEMBRE " sheetId="18" state="hidden" r:id="rId19"/>
  </sheets>
  <definedNames>
    <definedName name="_xlnm.Print_Area" localSheetId="5">ABRIL!$A$1:$K$76</definedName>
    <definedName name="_xlnm.Print_Area" localSheetId="11">'AGOSTO '!$A$1:$L$121</definedName>
    <definedName name="_xlnm.Print_Area" localSheetId="18">'DICIEMBRE '!$A$1:$K$73</definedName>
    <definedName name="_xlnm.Print_Area" localSheetId="0">ENERO!$A$1:$K$76</definedName>
    <definedName name="_xlnm.Print_Area" localSheetId="1">FEBRERO!$A$1:$K$76</definedName>
    <definedName name="_xlnm.Print_Area" localSheetId="10">JULIO!$A$1:$L$110</definedName>
    <definedName name="_xlnm.Print_Area" localSheetId="9">JUNIO!$A$1:$L$124</definedName>
    <definedName name="_xlnm.Print_Area" localSheetId="3">MARZO!$A$1:$K$76</definedName>
    <definedName name="_xlnm.Print_Area" localSheetId="7">MAYO!$A$1:$K$76</definedName>
    <definedName name="_xlnm.Print_Area" localSheetId="12">SEPT!$A$1:$L$121</definedName>
    <definedName name="Cod_proy" localSheetId="14">#REF!</definedName>
    <definedName name="Cod_proy" localSheetId="17">#REF!</definedName>
    <definedName name="Giro_Alpin" localSheetId="14">#REF!</definedName>
    <definedName name="Giro_Alpin" localSheetId="17">#REF!</definedName>
    <definedName name="Lider_Nombre" localSheetId="14">#REF!</definedName>
    <definedName name="Lider_Nombre" localSheetId="17">#REF!</definedName>
    <definedName name="Nivel" localSheetId="14">#REF!</definedName>
    <definedName name="Nivel" localSheetId="17">#REF!</definedName>
    <definedName name="Nom_Cl" localSheetId="14">#REF!</definedName>
    <definedName name="Nom_Cl" localSheetId="17">#REF!</definedName>
    <definedName name="tblDatos" localSheetId="14">OFFSET(#REF!,0,0,COUNTA(#REF!),11)</definedName>
    <definedName name="tblDatos" localSheetId="17">OFFSET(#REF!,0,0,COUNTA(#REF!),11)</definedName>
    <definedName name="_xlnm.Print_Titles" localSheetId="11">'AGOSTO '!$1:$2</definedName>
    <definedName name="_xlnm.Print_Titles" localSheetId="10">JULIO!$1:$2</definedName>
    <definedName name="_xlnm.Print_Titles" localSheetId="9">JUNIO!$1:$2</definedName>
    <definedName name="_xlnm.Print_Titles" localSheetId="12">SEPT!$1:$2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6" l="1"/>
  <c r="E20" i="16" l="1"/>
  <c r="E8" i="16"/>
  <c r="B25" i="16"/>
  <c r="E6" i="16"/>
  <c r="K20" i="16"/>
  <c r="K21" i="16"/>
  <c r="K22" i="16"/>
  <c r="K23" i="16"/>
  <c r="H21" i="16"/>
  <c r="H22" i="16"/>
  <c r="H23" i="16"/>
  <c r="H20" i="16"/>
  <c r="E21" i="16"/>
  <c r="E22" i="16"/>
  <c r="E23" i="16"/>
  <c r="P174" i="18"/>
  <c r="P171" i="18"/>
  <c r="P167" i="18"/>
  <c r="Q167" i="18" s="1"/>
  <c r="D70" i="18"/>
  <c r="J69" i="18"/>
  <c r="K69" i="18" s="1"/>
  <c r="G69" i="18"/>
  <c r="E69" i="18"/>
  <c r="J68" i="18"/>
  <c r="G68" i="18"/>
  <c r="E68" i="18"/>
  <c r="J67" i="18"/>
  <c r="G67" i="18"/>
  <c r="E67" i="18"/>
  <c r="I66" i="18"/>
  <c r="H66" i="18"/>
  <c r="G66" i="18"/>
  <c r="E66" i="18"/>
  <c r="J62" i="18"/>
  <c r="I62" i="18"/>
  <c r="F62" i="18"/>
  <c r="E62" i="18"/>
  <c r="D52" i="18"/>
  <c r="J51" i="18"/>
  <c r="G51" i="18"/>
  <c r="E51" i="18"/>
  <c r="J50" i="18"/>
  <c r="K50" i="18" s="1"/>
  <c r="G50" i="18"/>
  <c r="E50" i="18"/>
  <c r="J49" i="18"/>
  <c r="G49" i="18"/>
  <c r="E49" i="18"/>
  <c r="I48" i="18"/>
  <c r="H48" i="18"/>
  <c r="G48" i="18"/>
  <c r="E48" i="18"/>
  <c r="E52" i="18" s="1"/>
  <c r="J44" i="18"/>
  <c r="I44" i="18"/>
  <c r="F44" i="18"/>
  <c r="E44" i="18"/>
  <c r="D33" i="18"/>
  <c r="J32" i="18"/>
  <c r="E32" i="18"/>
  <c r="J31" i="18"/>
  <c r="K31" i="18" s="1"/>
  <c r="E31" i="18"/>
  <c r="I30" i="18"/>
  <c r="H30" i="18"/>
  <c r="E30" i="18"/>
  <c r="K30" i="18" s="1"/>
  <c r="J26" i="18"/>
  <c r="I26" i="18"/>
  <c r="F26" i="18"/>
  <c r="E26" i="18"/>
  <c r="D14" i="18"/>
  <c r="J13" i="18"/>
  <c r="E13" i="18"/>
  <c r="J12" i="18"/>
  <c r="G12" i="18"/>
  <c r="E12" i="18"/>
  <c r="I11" i="18"/>
  <c r="J11" i="18" s="1"/>
  <c r="K11" i="18" s="1"/>
  <c r="H11" i="18"/>
  <c r="G11" i="18"/>
  <c r="E11" i="18"/>
  <c r="J7" i="18"/>
  <c r="I7" i="18"/>
  <c r="F7" i="18"/>
  <c r="E7" i="18"/>
  <c r="X9" i="17"/>
  <c r="Y9" i="17" s="1"/>
  <c r="X8" i="17"/>
  <c r="Y8" i="17" s="1"/>
  <c r="X7" i="17"/>
  <c r="Y7" i="17" s="1"/>
  <c r="X6" i="17"/>
  <c r="Y6" i="17" s="1"/>
  <c r="X5" i="17"/>
  <c r="Y5" i="17" s="1"/>
  <c r="W1" i="17"/>
  <c r="V1" i="17"/>
  <c r="U1" i="17"/>
  <c r="T1" i="17"/>
  <c r="S1" i="17"/>
  <c r="R1" i="17"/>
  <c r="Q1" i="17"/>
  <c r="P1" i="17"/>
  <c r="O1" i="17"/>
  <c r="N1" i="17"/>
  <c r="M1" i="17"/>
  <c r="A1" i="17"/>
  <c r="N8" i="16"/>
  <c r="K8" i="16"/>
  <c r="H8" i="16"/>
  <c r="N7" i="16"/>
  <c r="K7" i="16"/>
  <c r="H7" i="16"/>
  <c r="E7" i="16"/>
  <c r="N6" i="16"/>
  <c r="K6" i="16"/>
  <c r="H6" i="16"/>
  <c r="N5" i="16"/>
  <c r="K5" i="16"/>
  <c r="H5" i="16"/>
  <c r="E5" i="16"/>
  <c r="N4" i="16"/>
  <c r="K4" i="16"/>
  <c r="H4" i="16"/>
  <c r="E4" i="16"/>
  <c r="N3" i="16"/>
  <c r="K3" i="16"/>
  <c r="H3" i="16"/>
  <c r="E3" i="16"/>
  <c r="L34" i="15"/>
  <c r="K32" i="15"/>
  <c r="J32" i="15"/>
  <c r="I32" i="15"/>
  <c r="M31" i="15"/>
  <c r="M30" i="15"/>
  <c r="K28" i="15"/>
  <c r="J28" i="15"/>
  <c r="I28" i="15"/>
  <c r="M27" i="15"/>
  <c r="F27" i="15"/>
  <c r="K29" i="15" s="1"/>
  <c r="M26" i="15"/>
  <c r="K24" i="15"/>
  <c r="K25" i="15" s="1"/>
  <c r="J24" i="15"/>
  <c r="J25" i="15" s="1"/>
  <c r="I24" i="15"/>
  <c r="I25" i="15" s="1"/>
  <c r="M23" i="15"/>
  <c r="M22" i="15"/>
  <c r="J15" i="15"/>
  <c r="K12" i="15"/>
  <c r="K13" i="15" s="1"/>
  <c r="K14" i="15" s="1"/>
  <c r="J12" i="15"/>
  <c r="J13" i="15" s="1"/>
  <c r="J14" i="15" s="1"/>
  <c r="I12" i="15"/>
  <c r="I13" i="15" s="1"/>
  <c r="I14" i="15" s="1"/>
  <c r="I15" i="15" s="1"/>
  <c r="F12" i="15"/>
  <c r="K11" i="15"/>
  <c r="J11" i="15"/>
  <c r="I11" i="15"/>
  <c r="M10" i="15"/>
  <c r="M9" i="15"/>
  <c r="B4" i="14"/>
  <c r="Q203" i="13"/>
  <c r="Q200" i="13"/>
  <c r="Q196" i="13"/>
  <c r="R196" i="13" s="1"/>
  <c r="F119" i="13"/>
  <c r="K118" i="13"/>
  <c r="L118" i="13" s="1"/>
  <c r="G118" i="13"/>
  <c r="K117" i="13"/>
  <c r="L117" i="13" s="1"/>
  <c r="G117" i="13"/>
  <c r="K116" i="13"/>
  <c r="L116" i="13" s="1"/>
  <c r="G116" i="13"/>
  <c r="J115" i="13"/>
  <c r="I115" i="13"/>
  <c r="G115" i="13"/>
  <c r="F110" i="13"/>
  <c r="E110" i="13"/>
  <c r="F109" i="13"/>
  <c r="E109" i="13"/>
  <c r="F99" i="13"/>
  <c r="K98" i="13"/>
  <c r="L98" i="13" s="1"/>
  <c r="G98" i="13"/>
  <c r="K97" i="13"/>
  <c r="L97" i="13" s="1"/>
  <c r="G97" i="13"/>
  <c r="K96" i="13"/>
  <c r="L96" i="13" s="1"/>
  <c r="G96" i="13"/>
  <c r="K95" i="13"/>
  <c r="L95" i="13" s="1"/>
  <c r="G95" i="13"/>
  <c r="J94" i="13"/>
  <c r="I94" i="13"/>
  <c r="G94" i="13"/>
  <c r="F89" i="13"/>
  <c r="E89" i="13"/>
  <c r="F88" i="13"/>
  <c r="E88" i="13"/>
  <c r="F78" i="13"/>
  <c r="K77" i="13"/>
  <c r="L77" i="13" s="1"/>
  <c r="L78" i="13" s="1"/>
  <c r="G77" i="13"/>
  <c r="G76" i="13"/>
  <c r="J75" i="13"/>
  <c r="I75" i="13"/>
  <c r="K75" i="13" s="1"/>
  <c r="L75" i="13" s="1"/>
  <c r="G75" i="13"/>
  <c r="G78" i="13" s="1"/>
  <c r="F70" i="13"/>
  <c r="F69" i="13"/>
  <c r="F59" i="13"/>
  <c r="K58" i="13"/>
  <c r="L58" i="13" s="1"/>
  <c r="G58" i="13"/>
  <c r="K57" i="13"/>
  <c r="L57" i="13" s="1"/>
  <c r="G57" i="13"/>
  <c r="L56" i="13"/>
  <c r="G56" i="13"/>
  <c r="L55" i="13"/>
  <c r="G55" i="13"/>
  <c r="J54" i="13"/>
  <c r="I54" i="13"/>
  <c r="G54" i="13"/>
  <c r="F49" i="13"/>
  <c r="E49" i="13"/>
  <c r="F48" i="13"/>
  <c r="E48" i="13"/>
  <c r="G38" i="13"/>
  <c r="F38" i="13"/>
  <c r="K37" i="13"/>
  <c r="L37" i="13" s="1"/>
  <c r="K36" i="13"/>
  <c r="L36" i="13" s="1"/>
  <c r="K35" i="13"/>
  <c r="L35" i="13" s="1"/>
  <c r="L38" i="13" s="1"/>
  <c r="K34" i="13"/>
  <c r="L34" i="13" s="1"/>
  <c r="J33" i="13"/>
  <c r="I33" i="13"/>
  <c r="F28" i="13"/>
  <c r="F27" i="13"/>
  <c r="F17" i="13"/>
  <c r="K16" i="13"/>
  <c r="L16" i="13" s="1"/>
  <c r="G16" i="13"/>
  <c r="K15" i="13"/>
  <c r="L15" i="13" s="1"/>
  <c r="G15" i="13"/>
  <c r="K14" i="13"/>
  <c r="L14" i="13" s="1"/>
  <c r="G14" i="13"/>
  <c r="J13" i="13"/>
  <c r="I13" i="13"/>
  <c r="G13" i="13"/>
  <c r="G17" i="13" s="1"/>
  <c r="F8" i="13"/>
  <c r="F7" i="13"/>
  <c r="Q203" i="12"/>
  <c r="Q200" i="12"/>
  <c r="Q196" i="12"/>
  <c r="R196" i="12" s="1"/>
  <c r="F119" i="12"/>
  <c r="K118" i="12"/>
  <c r="L118" i="12" s="1"/>
  <c r="G118" i="12"/>
  <c r="K117" i="12"/>
  <c r="L117" i="12" s="1"/>
  <c r="G117" i="12"/>
  <c r="K116" i="12"/>
  <c r="L116" i="12" s="1"/>
  <c r="G116" i="12"/>
  <c r="J115" i="12"/>
  <c r="I115" i="12"/>
  <c r="G115" i="12"/>
  <c r="F110" i="12"/>
  <c r="E110" i="12"/>
  <c r="F109" i="12"/>
  <c r="E109" i="12"/>
  <c r="F99" i="12"/>
  <c r="K98" i="12"/>
  <c r="L98" i="12" s="1"/>
  <c r="G98" i="12"/>
  <c r="K97" i="12"/>
  <c r="L97" i="12" s="1"/>
  <c r="G97" i="12"/>
  <c r="K96" i="12"/>
  <c r="L96" i="12" s="1"/>
  <c r="G96" i="12"/>
  <c r="K95" i="12"/>
  <c r="L95" i="12" s="1"/>
  <c r="G95" i="12"/>
  <c r="J94" i="12"/>
  <c r="I94" i="12"/>
  <c r="G94" i="12"/>
  <c r="F89" i="12"/>
  <c r="E89" i="12"/>
  <c r="F88" i="12"/>
  <c r="E88" i="12"/>
  <c r="F78" i="12"/>
  <c r="K77" i="12"/>
  <c r="L77" i="12" s="1"/>
  <c r="L78" i="12" s="1"/>
  <c r="G77" i="12"/>
  <c r="J76" i="12"/>
  <c r="I76" i="12"/>
  <c r="G76" i="12"/>
  <c r="G78" i="12" s="1"/>
  <c r="F71" i="12"/>
  <c r="F70" i="12"/>
  <c r="F60" i="12"/>
  <c r="K59" i="12"/>
  <c r="G59" i="12"/>
  <c r="K58" i="12"/>
  <c r="L58" i="12" s="1"/>
  <c r="G58" i="12"/>
  <c r="L57" i="12"/>
  <c r="G57" i="12"/>
  <c r="L56" i="12"/>
  <c r="G56" i="12"/>
  <c r="J55" i="12"/>
  <c r="I55" i="12"/>
  <c r="G55" i="12"/>
  <c r="F50" i="12"/>
  <c r="F49" i="12"/>
  <c r="F39" i="12"/>
  <c r="K38" i="12"/>
  <c r="L38" i="12" s="1"/>
  <c r="K37" i="12"/>
  <c r="L37" i="12" s="1"/>
  <c r="K36" i="12"/>
  <c r="L36" i="12" s="1"/>
  <c r="L39" i="12" s="1"/>
  <c r="G36" i="12"/>
  <c r="K35" i="12"/>
  <c r="L35" i="12" s="1"/>
  <c r="G35" i="12"/>
  <c r="J34" i="12"/>
  <c r="I34" i="12"/>
  <c r="G34" i="12"/>
  <c r="F29" i="12"/>
  <c r="E29" i="12"/>
  <c r="F28" i="12"/>
  <c r="E28" i="12"/>
  <c r="F18" i="12"/>
  <c r="K17" i="12"/>
  <c r="G17" i="12"/>
  <c r="K16" i="12"/>
  <c r="L16" i="12" s="1"/>
  <c r="G16" i="12"/>
  <c r="K15" i="12"/>
  <c r="L15" i="12" s="1"/>
  <c r="G15" i="12"/>
  <c r="G14" i="12"/>
  <c r="J13" i="12"/>
  <c r="I13" i="12"/>
  <c r="G13" i="12"/>
  <c r="F8" i="12"/>
  <c r="E8" i="12"/>
  <c r="F7" i="12"/>
  <c r="E7" i="12"/>
  <c r="Q192" i="11"/>
  <c r="Q189" i="11"/>
  <c r="Q185" i="11"/>
  <c r="R185" i="11" s="1"/>
  <c r="F108" i="11"/>
  <c r="K107" i="11"/>
  <c r="L107" i="11" s="1"/>
  <c r="G107" i="11"/>
  <c r="K106" i="11"/>
  <c r="L106" i="11" s="1"/>
  <c r="G106" i="11"/>
  <c r="K105" i="11"/>
  <c r="L105" i="11" s="1"/>
  <c r="G105" i="11"/>
  <c r="J104" i="11"/>
  <c r="I104" i="11"/>
  <c r="G104" i="11"/>
  <c r="F99" i="11"/>
  <c r="E99" i="11"/>
  <c r="F98" i="11"/>
  <c r="E98" i="11"/>
  <c r="F90" i="11"/>
  <c r="K89" i="11"/>
  <c r="L89" i="11" s="1"/>
  <c r="G89" i="11"/>
  <c r="K88" i="11"/>
  <c r="L88" i="11" s="1"/>
  <c r="G88" i="11"/>
  <c r="K87" i="11"/>
  <c r="L87" i="11" s="1"/>
  <c r="G87" i="11"/>
  <c r="K86" i="11"/>
  <c r="L86" i="11" s="1"/>
  <c r="G86" i="11"/>
  <c r="J85" i="11"/>
  <c r="I85" i="11"/>
  <c r="G85" i="11"/>
  <c r="F80" i="11"/>
  <c r="E80" i="11"/>
  <c r="F79" i="11"/>
  <c r="E79" i="11"/>
  <c r="F72" i="11"/>
  <c r="K71" i="11"/>
  <c r="G71" i="11"/>
  <c r="G72" i="11" s="1"/>
  <c r="J70" i="11"/>
  <c r="I70" i="11"/>
  <c r="G70" i="11"/>
  <c r="F65" i="11"/>
  <c r="E65" i="11"/>
  <c r="F64" i="11"/>
  <c r="E64" i="11"/>
  <c r="F56" i="11"/>
  <c r="K55" i="11"/>
  <c r="L55" i="11" s="1"/>
  <c r="G55" i="11"/>
  <c r="K54" i="11"/>
  <c r="L54" i="11" s="1"/>
  <c r="G54" i="11"/>
  <c r="L53" i="11"/>
  <c r="G53" i="11"/>
  <c r="L52" i="11"/>
  <c r="G52" i="11"/>
  <c r="J51" i="11"/>
  <c r="I51" i="11"/>
  <c r="G51" i="11"/>
  <c r="F46" i="11"/>
  <c r="E46" i="11"/>
  <c r="F45" i="11"/>
  <c r="E45" i="11"/>
  <c r="F37" i="11"/>
  <c r="K36" i="11"/>
  <c r="L36" i="11" s="1"/>
  <c r="K35" i="11"/>
  <c r="L35" i="11" s="1"/>
  <c r="K34" i="11"/>
  <c r="L34" i="11" s="1"/>
  <c r="L37" i="11" s="1"/>
  <c r="K33" i="11"/>
  <c r="L33" i="11" s="1"/>
  <c r="J32" i="11"/>
  <c r="I32" i="11"/>
  <c r="G32" i="11"/>
  <c r="G37" i="11" s="1"/>
  <c r="F27" i="11"/>
  <c r="E27" i="11"/>
  <c r="F26" i="11"/>
  <c r="E26" i="11"/>
  <c r="F18" i="11"/>
  <c r="K17" i="11"/>
  <c r="L17" i="11" s="1"/>
  <c r="G17" i="11"/>
  <c r="K16" i="11"/>
  <c r="L16" i="11" s="1"/>
  <c r="G16" i="11"/>
  <c r="K15" i="11"/>
  <c r="L15" i="11" s="1"/>
  <c r="G15" i="11"/>
  <c r="K14" i="11"/>
  <c r="L14" i="11" s="1"/>
  <c r="G14" i="11"/>
  <c r="J13" i="11"/>
  <c r="I13" i="11"/>
  <c r="G13" i="11"/>
  <c r="F8" i="11"/>
  <c r="E8" i="11"/>
  <c r="F7" i="11"/>
  <c r="E7" i="11"/>
  <c r="Q206" i="10"/>
  <c r="Q203" i="10"/>
  <c r="Q199" i="10"/>
  <c r="R199" i="10" s="1"/>
  <c r="F122" i="10"/>
  <c r="K121" i="10"/>
  <c r="L121" i="10" s="1"/>
  <c r="G121" i="10"/>
  <c r="K120" i="10"/>
  <c r="L120" i="10" s="1"/>
  <c r="G120" i="10"/>
  <c r="K119" i="10"/>
  <c r="L119" i="10" s="1"/>
  <c r="G119" i="10"/>
  <c r="J118" i="10"/>
  <c r="K118" i="10" s="1"/>
  <c r="L118" i="10" s="1"/>
  <c r="I118" i="10"/>
  <c r="G118" i="10"/>
  <c r="F113" i="10"/>
  <c r="E113" i="10"/>
  <c r="F112" i="10"/>
  <c r="E112" i="10"/>
  <c r="B112" i="10"/>
  <c r="F102" i="10"/>
  <c r="K101" i="10"/>
  <c r="L101" i="10" s="1"/>
  <c r="G101" i="10"/>
  <c r="K100" i="10"/>
  <c r="L100" i="10" s="1"/>
  <c r="G100" i="10"/>
  <c r="K99" i="10"/>
  <c r="L99" i="10" s="1"/>
  <c r="G99" i="10"/>
  <c r="K98" i="10"/>
  <c r="L98" i="10" s="1"/>
  <c r="G98" i="10"/>
  <c r="J97" i="10"/>
  <c r="I97" i="10"/>
  <c r="G97" i="10"/>
  <c r="F92" i="10"/>
  <c r="E92" i="10"/>
  <c r="F91" i="10"/>
  <c r="E91" i="10"/>
  <c r="F81" i="10"/>
  <c r="K80" i="10"/>
  <c r="L80" i="10" s="1"/>
  <c r="G80" i="10"/>
  <c r="K79" i="10"/>
  <c r="L79" i="10" s="1"/>
  <c r="G79" i="10"/>
  <c r="K78" i="10"/>
  <c r="L78" i="10" s="1"/>
  <c r="G78" i="10"/>
  <c r="K77" i="10"/>
  <c r="L77" i="10" s="1"/>
  <c r="G77" i="10"/>
  <c r="J76" i="10"/>
  <c r="I76" i="10"/>
  <c r="G76" i="10"/>
  <c r="F71" i="10"/>
  <c r="E71" i="10"/>
  <c r="F70" i="10"/>
  <c r="E70" i="10"/>
  <c r="F60" i="10"/>
  <c r="K59" i="10"/>
  <c r="L59" i="10" s="1"/>
  <c r="G59" i="10"/>
  <c r="K58" i="10"/>
  <c r="L58" i="10" s="1"/>
  <c r="G58" i="10"/>
  <c r="K57" i="10"/>
  <c r="L57" i="10" s="1"/>
  <c r="G57" i="10"/>
  <c r="K56" i="10"/>
  <c r="L56" i="10" s="1"/>
  <c r="G56" i="10"/>
  <c r="J55" i="10"/>
  <c r="I55" i="10"/>
  <c r="G55" i="10"/>
  <c r="F50" i="10"/>
  <c r="E50" i="10"/>
  <c r="F49" i="10"/>
  <c r="E49" i="10"/>
  <c r="G39" i="10"/>
  <c r="F39" i="10"/>
  <c r="K38" i="10"/>
  <c r="L38" i="10" s="1"/>
  <c r="K37" i="10"/>
  <c r="L37" i="10" s="1"/>
  <c r="K36" i="10"/>
  <c r="L36" i="10" s="1"/>
  <c r="L39" i="10" s="1"/>
  <c r="K35" i="10"/>
  <c r="L35" i="10" s="1"/>
  <c r="J34" i="10"/>
  <c r="K34" i="10" s="1"/>
  <c r="L34" i="10" s="1"/>
  <c r="L41" i="10" s="1"/>
  <c r="I34" i="10"/>
  <c r="F29" i="10"/>
  <c r="E29" i="10"/>
  <c r="F28" i="10"/>
  <c r="E28" i="10"/>
  <c r="F18" i="10"/>
  <c r="K17" i="10"/>
  <c r="L17" i="10" s="1"/>
  <c r="G17" i="10"/>
  <c r="K16" i="10"/>
  <c r="L16" i="10" s="1"/>
  <c r="G16" i="10"/>
  <c r="K15" i="10"/>
  <c r="L15" i="10" s="1"/>
  <c r="G15" i="10"/>
  <c r="K14" i="10"/>
  <c r="L14" i="10" s="1"/>
  <c r="G14" i="10"/>
  <c r="J13" i="10"/>
  <c r="I13" i="10"/>
  <c r="G13" i="10"/>
  <c r="F8" i="10"/>
  <c r="E8" i="10"/>
  <c r="F7" i="10"/>
  <c r="E7" i="10"/>
  <c r="K102" i="9"/>
  <c r="J102" i="9"/>
  <c r="G102" i="9"/>
  <c r="F102" i="9"/>
  <c r="M101" i="9"/>
  <c r="L101" i="9"/>
  <c r="I101" i="9"/>
  <c r="H101" i="9"/>
  <c r="M100" i="9"/>
  <c r="L100" i="9"/>
  <c r="I100" i="9"/>
  <c r="H100" i="9"/>
  <c r="M99" i="9"/>
  <c r="L99" i="9"/>
  <c r="I99" i="9"/>
  <c r="H99" i="9"/>
  <c r="M98" i="9"/>
  <c r="L98" i="9"/>
  <c r="I98" i="9"/>
  <c r="H98" i="9"/>
  <c r="K91" i="9"/>
  <c r="J91" i="9"/>
  <c r="G91" i="9"/>
  <c r="F91" i="9"/>
  <c r="M90" i="9"/>
  <c r="L90" i="9"/>
  <c r="I90" i="9"/>
  <c r="H90" i="9"/>
  <c r="M89" i="9"/>
  <c r="L89" i="9"/>
  <c r="I89" i="9"/>
  <c r="H89" i="9"/>
  <c r="M88" i="9"/>
  <c r="L88" i="9"/>
  <c r="I88" i="9"/>
  <c r="H88" i="9"/>
  <c r="M87" i="9"/>
  <c r="L87" i="9"/>
  <c r="I87" i="9"/>
  <c r="H87" i="9"/>
  <c r="M86" i="9"/>
  <c r="L86" i="9"/>
  <c r="I86" i="9"/>
  <c r="H86" i="9"/>
  <c r="M85" i="9"/>
  <c r="L85" i="9"/>
  <c r="I85" i="9"/>
  <c r="H85" i="9"/>
  <c r="M84" i="9"/>
  <c r="L84" i="9"/>
  <c r="I84" i="9"/>
  <c r="H84" i="9"/>
  <c r="H91" i="9" s="1"/>
  <c r="I91" i="9" s="1"/>
  <c r="K77" i="9"/>
  <c r="J77" i="9"/>
  <c r="G77" i="9"/>
  <c r="F77" i="9"/>
  <c r="M76" i="9"/>
  <c r="L76" i="9"/>
  <c r="I76" i="9"/>
  <c r="H76" i="9"/>
  <c r="M75" i="9"/>
  <c r="L75" i="9"/>
  <c r="I75" i="9"/>
  <c r="H75" i="9"/>
  <c r="M74" i="9"/>
  <c r="L74" i="9"/>
  <c r="I74" i="9"/>
  <c r="H74" i="9"/>
  <c r="M73" i="9"/>
  <c r="L73" i="9"/>
  <c r="I73" i="9"/>
  <c r="H73" i="9"/>
  <c r="O19" i="9" s="1"/>
  <c r="O32" i="9" s="1"/>
  <c r="K66" i="9"/>
  <c r="J66" i="9"/>
  <c r="G66" i="9"/>
  <c r="F66" i="9"/>
  <c r="M65" i="9"/>
  <c r="L65" i="9"/>
  <c r="I65" i="9"/>
  <c r="H65" i="9"/>
  <c r="M64" i="9"/>
  <c r="L64" i="9"/>
  <c r="I64" i="9"/>
  <c r="H64" i="9"/>
  <c r="M63" i="9"/>
  <c r="L63" i="9"/>
  <c r="I63" i="9"/>
  <c r="H63" i="9"/>
  <c r="H66" i="9" s="1"/>
  <c r="I66" i="9" s="1"/>
  <c r="K56" i="9"/>
  <c r="J56" i="9"/>
  <c r="G56" i="9"/>
  <c r="F56" i="9"/>
  <c r="M55" i="9"/>
  <c r="L55" i="9"/>
  <c r="I55" i="9"/>
  <c r="H55" i="9"/>
  <c r="M54" i="9"/>
  <c r="L54" i="9"/>
  <c r="I54" i="9"/>
  <c r="H54" i="9"/>
  <c r="M53" i="9"/>
  <c r="L53" i="9"/>
  <c r="I53" i="9"/>
  <c r="H53" i="9"/>
  <c r="M52" i="9"/>
  <c r="L52" i="9"/>
  <c r="I52" i="9"/>
  <c r="H52" i="9"/>
  <c r="M51" i="9"/>
  <c r="L51" i="9"/>
  <c r="I51" i="9"/>
  <c r="H51" i="9"/>
  <c r="M50" i="9"/>
  <c r="L50" i="9"/>
  <c r="I50" i="9"/>
  <c r="H50" i="9"/>
  <c r="M49" i="9"/>
  <c r="L49" i="9"/>
  <c r="I49" i="9"/>
  <c r="H49" i="9"/>
  <c r="M48" i="9"/>
  <c r="L48" i="9"/>
  <c r="I48" i="9"/>
  <c r="H48" i="9"/>
  <c r="M47" i="9"/>
  <c r="L47" i="9"/>
  <c r="I47" i="9"/>
  <c r="H47" i="9"/>
  <c r="M46" i="9"/>
  <c r="L46" i="9"/>
  <c r="I46" i="9"/>
  <c r="H46" i="9"/>
  <c r="M45" i="9"/>
  <c r="L45" i="9"/>
  <c r="I45" i="9"/>
  <c r="H45" i="9"/>
  <c r="M44" i="9"/>
  <c r="L44" i="9"/>
  <c r="I44" i="9"/>
  <c r="H44" i="9"/>
  <c r="R37" i="9"/>
  <c r="N36" i="9"/>
  <c r="S36" i="9" s="1"/>
  <c r="F36" i="9"/>
  <c r="N35" i="9"/>
  <c r="D65" i="8" s="1"/>
  <c r="J35" i="9"/>
  <c r="J37" i="9" s="1"/>
  <c r="F35" i="9"/>
  <c r="O34" i="9"/>
  <c r="N34" i="9"/>
  <c r="T34" i="9" s="1"/>
  <c r="G34" i="9"/>
  <c r="F34" i="9"/>
  <c r="I34" i="9" s="1"/>
  <c r="O33" i="9"/>
  <c r="N33" i="9"/>
  <c r="T33" i="9" s="1"/>
  <c r="G33" i="9"/>
  <c r="F33" i="9"/>
  <c r="N32" i="9"/>
  <c r="T32" i="9" s="1"/>
  <c r="F32" i="9"/>
  <c r="O31" i="9"/>
  <c r="C28" i="8" s="1"/>
  <c r="N31" i="9"/>
  <c r="T31" i="9" s="1"/>
  <c r="G31" i="9"/>
  <c r="G28" i="8" s="1"/>
  <c r="H32" i="8" s="1"/>
  <c r="F31" i="9"/>
  <c r="L31" i="9" s="1"/>
  <c r="N30" i="9"/>
  <c r="F30" i="9"/>
  <c r="H7" i="8" s="1"/>
  <c r="I11" i="8" s="1"/>
  <c r="R24" i="9"/>
  <c r="N24" i="9"/>
  <c r="S24" i="9" s="1"/>
  <c r="J24" i="9"/>
  <c r="F24" i="9"/>
  <c r="R12" i="9"/>
  <c r="O12" i="9"/>
  <c r="N12" i="9"/>
  <c r="J12" i="9"/>
  <c r="G12" i="9"/>
  <c r="F12" i="9"/>
  <c r="P177" i="8"/>
  <c r="P174" i="8"/>
  <c r="P170" i="8"/>
  <c r="Q170" i="8" s="1"/>
  <c r="D93" i="8"/>
  <c r="J92" i="8"/>
  <c r="K92" i="8" s="1"/>
  <c r="G92" i="8"/>
  <c r="E92" i="8"/>
  <c r="J91" i="8"/>
  <c r="K91" i="8" s="1"/>
  <c r="G91" i="8"/>
  <c r="E91" i="8"/>
  <c r="J90" i="8"/>
  <c r="K90" i="8" s="1"/>
  <c r="G90" i="8"/>
  <c r="E90" i="8"/>
  <c r="J89" i="8"/>
  <c r="K89" i="8" s="1"/>
  <c r="G89" i="8"/>
  <c r="E89" i="8"/>
  <c r="G88" i="8"/>
  <c r="E88" i="8"/>
  <c r="B84" i="8"/>
  <c r="D74" i="8"/>
  <c r="J73" i="8"/>
  <c r="K73" i="8" s="1"/>
  <c r="G73" i="8"/>
  <c r="E73" i="8"/>
  <c r="J72" i="8"/>
  <c r="K72" i="8" s="1"/>
  <c r="G72" i="8"/>
  <c r="E72" i="8"/>
  <c r="J71" i="8"/>
  <c r="K71" i="8" s="1"/>
  <c r="G71" i="8"/>
  <c r="E71" i="8"/>
  <c r="J70" i="8"/>
  <c r="K70" i="8" s="1"/>
  <c r="K74" i="8" s="1"/>
  <c r="G70" i="8"/>
  <c r="E70" i="8"/>
  <c r="G69" i="8"/>
  <c r="E69" i="8"/>
  <c r="H65" i="8"/>
  <c r="I69" i="8" s="1"/>
  <c r="B65" i="8"/>
  <c r="D55" i="8"/>
  <c r="J54" i="8"/>
  <c r="K54" i="8" s="1"/>
  <c r="G54" i="8"/>
  <c r="E54" i="8"/>
  <c r="J53" i="8"/>
  <c r="K53" i="8" s="1"/>
  <c r="G53" i="8"/>
  <c r="E53" i="8"/>
  <c r="J52" i="8"/>
  <c r="K52" i="8" s="1"/>
  <c r="G52" i="8"/>
  <c r="E52" i="8"/>
  <c r="G51" i="8"/>
  <c r="E51" i="8"/>
  <c r="B47" i="8"/>
  <c r="E37" i="8"/>
  <c r="B37" i="8"/>
  <c r="D35" i="8" s="1"/>
  <c r="J36" i="8"/>
  <c r="K36" i="8" s="1"/>
  <c r="G36" i="8"/>
  <c r="J35" i="8"/>
  <c r="K35" i="8" s="1"/>
  <c r="G35" i="8"/>
  <c r="J34" i="8"/>
  <c r="K34" i="8" s="1"/>
  <c r="K37" i="8" s="1"/>
  <c r="G34" i="8"/>
  <c r="K33" i="8"/>
  <c r="J33" i="8"/>
  <c r="G33" i="8"/>
  <c r="G32" i="8"/>
  <c r="B28" i="8"/>
  <c r="D16" i="8"/>
  <c r="J15" i="8"/>
  <c r="K15" i="8" s="1"/>
  <c r="G15" i="8"/>
  <c r="E15" i="8"/>
  <c r="J14" i="8"/>
  <c r="K14" i="8" s="1"/>
  <c r="G14" i="8"/>
  <c r="E14" i="8"/>
  <c r="J13" i="8"/>
  <c r="K13" i="8" s="1"/>
  <c r="G13" i="8"/>
  <c r="E13" i="8"/>
  <c r="J12" i="8"/>
  <c r="K12" i="8" s="1"/>
  <c r="G12" i="8"/>
  <c r="E12" i="8"/>
  <c r="E11" i="8"/>
  <c r="K99" i="7"/>
  <c r="J99" i="7"/>
  <c r="G99" i="7"/>
  <c r="F99" i="7"/>
  <c r="M98" i="7"/>
  <c r="L98" i="7"/>
  <c r="I98" i="7"/>
  <c r="H98" i="7"/>
  <c r="M97" i="7"/>
  <c r="L97" i="7"/>
  <c r="L99" i="7" s="1"/>
  <c r="M99" i="7" s="1"/>
  <c r="I97" i="7"/>
  <c r="H97" i="7"/>
  <c r="H99" i="7" s="1"/>
  <c r="K90" i="7"/>
  <c r="J90" i="7"/>
  <c r="G90" i="7"/>
  <c r="F90" i="7"/>
  <c r="M89" i="7"/>
  <c r="L89" i="7"/>
  <c r="I89" i="7"/>
  <c r="H89" i="7"/>
  <c r="M88" i="7"/>
  <c r="L88" i="7"/>
  <c r="I88" i="7"/>
  <c r="H88" i="7"/>
  <c r="M87" i="7"/>
  <c r="L87" i="7"/>
  <c r="I87" i="7"/>
  <c r="H87" i="7"/>
  <c r="M86" i="7"/>
  <c r="L86" i="7"/>
  <c r="I86" i="7"/>
  <c r="H86" i="7"/>
  <c r="M85" i="7"/>
  <c r="L85" i="7"/>
  <c r="L90" i="7" s="1"/>
  <c r="I85" i="7"/>
  <c r="H85" i="7"/>
  <c r="M84" i="7"/>
  <c r="L84" i="7"/>
  <c r="I84" i="7"/>
  <c r="H84" i="7"/>
  <c r="M83" i="7"/>
  <c r="L83" i="7"/>
  <c r="I83" i="7"/>
  <c r="H83" i="7"/>
  <c r="K76" i="7"/>
  <c r="J76" i="7"/>
  <c r="G76" i="7"/>
  <c r="F76" i="7"/>
  <c r="M75" i="7"/>
  <c r="L75" i="7"/>
  <c r="I75" i="7"/>
  <c r="H75" i="7"/>
  <c r="M74" i="7"/>
  <c r="L74" i="7"/>
  <c r="L76" i="7" s="1"/>
  <c r="I74" i="7"/>
  <c r="H74" i="7"/>
  <c r="M73" i="7"/>
  <c r="L73" i="7"/>
  <c r="I73" i="7"/>
  <c r="H73" i="7"/>
  <c r="K66" i="7"/>
  <c r="J66" i="7"/>
  <c r="G66" i="7"/>
  <c r="F66" i="7"/>
  <c r="M65" i="7"/>
  <c r="L65" i="7"/>
  <c r="I65" i="7"/>
  <c r="H65" i="7"/>
  <c r="M64" i="7"/>
  <c r="L64" i="7"/>
  <c r="I64" i="7"/>
  <c r="H64" i="7"/>
  <c r="M63" i="7"/>
  <c r="L63" i="7"/>
  <c r="I63" i="7"/>
  <c r="H63" i="7"/>
  <c r="K56" i="7"/>
  <c r="J56" i="7"/>
  <c r="G56" i="7"/>
  <c r="F56" i="7"/>
  <c r="M55" i="7"/>
  <c r="L55" i="7"/>
  <c r="I55" i="7"/>
  <c r="H55" i="7"/>
  <c r="M54" i="7"/>
  <c r="L54" i="7"/>
  <c r="I54" i="7"/>
  <c r="H54" i="7"/>
  <c r="M53" i="7"/>
  <c r="L53" i="7"/>
  <c r="I53" i="7"/>
  <c r="H53" i="7"/>
  <c r="M52" i="7"/>
  <c r="L52" i="7"/>
  <c r="I52" i="7"/>
  <c r="H52" i="7"/>
  <c r="M51" i="7"/>
  <c r="L51" i="7"/>
  <c r="I51" i="7"/>
  <c r="H51" i="7"/>
  <c r="M50" i="7"/>
  <c r="L50" i="7"/>
  <c r="I50" i="7"/>
  <c r="H50" i="7"/>
  <c r="M49" i="7"/>
  <c r="L49" i="7"/>
  <c r="I49" i="7"/>
  <c r="H49" i="7"/>
  <c r="M48" i="7"/>
  <c r="L48" i="7"/>
  <c r="I48" i="7"/>
  <c r="H48" i="7"/>
  <c r="M47" i="7"/>
  <c r="L47" i="7"/>
  <c r="I47" i="7"/>
  <c r="H47" i="7"/>
  <c r="M46" i="7"/>
  <c r="L46" i="7"/>
  <c r="I46" i="7"/>
  <c r="H46" i="7"/>
  <c r="M45" i="7"/>
  <c r="L45" i="7"/>
  <c r="I45" i="7"/>
  <c r="H45" i="7"/>
  <c r="M44" i="7"/>
  <c r="L44" i="7"/>
  <c r="G17" i="7" s="1"/>
  <c r="I44" i="7"/>
  <c r="H44" i="7"/>
  <c r="R37" i="7"/>
  <c r="N36" i="7"/>
  <c r="F36" i="7"/>
  <c r="H47" i="6" s="1"/>
  <c r="I51" i="6" s="1"/>
  <c r="N35" i="7"/>
  <c r="J35" i="7"/>
  <c r="J37" i="7" s="1"/>
  <c r="F35" i="7"/>
  <c r="K35" i="7" s="1"/>
  <c r="O34" i="7"/>
  <c r="N34" i="7"/>
  <c r="G34" i="7"/>
  <c r="F34" i="7"/>
  <c r="O33" i="7"/>
  <c r="N33" i="7"/>
  <c r="T33" i="7" s="1"/>
  <c r="G33" i="7"/>
  <c r="F33" i="7"/>
  <c r="N32" i="7"/>
  <c r="T32" i="7" s="1"/>
  <c r="F32" i="7"/>
  <c r="L32" i="7" s="1"/>
  <c r="N31" i="7"/>
  <c r="D28" i="6" s="1"/>
  <c r="F31" i="7"/>
  <c r="N30" i="7"/>
  <c r="D7" i="6" s="1"/>
  <c r="F30" i="7"/>
  <c r="H7" i="6" s="1"/>
  <c r="R24" i="7"/>
  <c r="N24" i="7"/>
  <c r="T24" i="7" s="1"/>
  <c r="J24" i="7"/>
  <c r="F24" i="7"/>
  <c r="G23" i="7"/>
  <c r="G36" i="7" s="1"/>
  <c r="R12" i="7"/>
  <c r="O12" i="7"/>
  <c r="N12" i="7"/>
  <c r="T12" i="7" s="1"/>
  <c r="J12" i="7"/>
  <c r="G12" i="7"/>
  <c r="F12" i="7"/>
  <c r="T11" i="7"/>
  <c r="S11" i="7"/>
  <c r="Q11" i="7"/>
  <c r="P11" i="7"/>
  <c r="L11" i="7"/>
  <c r="K11" i="7"/>
  <c r="I11" i="7"/>
  <c r="H11" i="7"/>
  <c r="T10" i="7"/>
  <c r="S10" i="7"/>
  <c r="Q10" i="7"/>
  <c r="P10" i="7"/>
  <c r="L10" i="7"/>
  <c r="K10" i="7"/>
  <c r="I10" i="7"/>
  <c r="H10" i="7"/>
  <c r="T9" i="7"/>
  <c r="S9" i="7"/>
  <c r="Q9" i="7"/>
  <c r="P9" i="7"/>
  <c r="L9" i="7"/>
  <c r="K9" i="7"/>
  <c r="I9" i="7"/>
  <c r="H9" i="7"/>
  <c r="T8" i="7"/>
  <c r="S8" i="7"/>
  <c r="Q8" i="7"/>
  <c r="P8" i="7"/>
  <c r="L8" i="7"/>
  <c r="K8" i="7"/>
  <c r="I8" i="7"/>
  <c r="H8" i="7"/>
  <c r="T7" i="7"/>
  <c r="S7" i="7"/>
  <c r="Q7" i="7"/>
  <c r="P7" i="7"/>
  <c r="L7" i="7"/>
  <c r="K7" i="7"/>
  <c r="I7" i="7"/>
  <c r="H7" i="7"/>
  <c r="T6" i="7"/>
  <c r="S6" i="7"/>
  <c r="Q6" i="7"/>
  <c r="P6" i="7"/>
  <c r="L6" i="7"/>
  <c r="K6" i="7"/>
  <c r="I6" i="7"/>
  <c r="H6" i="7"/>
  <c r="T5" i="7"/>
  <c r="S5" i="7"/>
  <c r="Q5" i="7"/>
  <c r="P5" i="7"/>
  <c r="L5" i="7"/>
  <c r="K5" i="7"/>
  <c r="I5" i="7"/>
  <c r="H5" i="7"/>
  <c r="P177" i="6"/>
  <c r="P174" i="6"/>
  <c r="P170" i="6"/>
  <c r="Q170" i="6" s="1"/>
  <c r="D93" i="6"/>
  <c r="J92" i="6"/>
  <c r="K92" i="6" s="1"/>
  <c r="G92" i="6"/>
  <c r="E92" i="6"/>
  <c r="J91" i="6"/>
  <c r="K91" i="6" s="1"/>
  <c r="G91" i="6"/>
  <c r="E91" i="6"/>
  <c r="J90" i="6"/>
  <c r="K90" i="6" s="1"/>
  <c r="G90" i="6"/>
  <c r="E90" i="6"/>
  <c r="J89" i="6"/>
  <c r="K89" i="6" s="1"/>
  <c r="G89" i="6"/>
  <c r="E89" i="6"/>
  <c r="G88" i="6"/>
  <c r="E88" i="6"/>
  <c r="B84" i="6"/>
  <c r="D74" i="6"/>
  <c r="J73" i="6"/>
  <c r="K73" i="6" s="1"/>
  <c r="G73" i="6"/>
  <c r="E73" i="6"/>
  <c r="J72" i="6"/>
  <c r="K72" i="6" s="1"/>
  <c r="G72" i="6"/>
  <c r="E72" i="6"/>
  <c r="J71" i="6"/>
  <c r="K71" i="6" s="1"/>
  <c r="G71" i="6"/>
  <c r="E71" i="6"/>
  <c r="J70" i="6"/>
  <c r="K70" i="6" s="1"/>
  <c r="G70" i="6"/>
  <c r="E70" i="6"/>
  <c r="G69" i="6"/>
  <c r="E69" i="6"/>
  <c r="H65" i="6"/>
  <c r="I69" i="6" s="1"/>
  <c r="B65" i="6"/>
  <c r="D55" i="6"/>
  <c r="J54" i="6"/>
  <c r="K54" i="6" s="1"/>
  <c r="G54" i="6"/>
  <c r="E54" i="6"/>
  <c r="J53" i="6"/>
  <c r="K53" i="6" s="1"/>
  <c r="G53" i="6"/>
  <c r="E53" i="6"/>
  <c r="J52" i="6"/>
  <c r="K52" i="6" s="1"/>
  <c r="G52" i="6"/>
  <c r="E52" i="6"/>
  <c r="G51" i="6"/>
  <c r="E51" i="6"/>
  <c r="B47" i="6"/>
  <c r="E37" i="6"/>
  <c r="B37" i="6"/>
  <c r="D34" i="6" s="1"/>
  <c r="J36" i="6"/>
  <c r="K36" i="6" s="1"/>
  <c r="G36" i="6"/>
  <c r="J35" i="6"/>
  <c r="K35" i="6" s="1"/>
  <c r="G35" i="6"/>
  <c r="J34" i="6"/>
  <c r="K34" i="6" s="1"/>
  <c r="K37" i="6" s="1"/>
  <c r="G34" i="6"/>
  <c r="J33" i="6"/>
  <c r="K33" i="6" s="1"/>
  <c r="G33" i="6"/>
  <c r="G32" i="6"/>
  <c r="B28" i="6"/>
  <c r="D16" i="6"/>
  <c r="J15" i="6"/>
  <c r="K15" i="6" s="1"/>
  <c r="G15" i="6"/>
  <c r="E15" i="6"/>
  <c r="J14" i="6"/>
  <c r="K14" i="6" s="1"/>
  <c r="G14" i="6"/>
  <c r="E14" i="6"/>
  <c r="J13" i="6"/>
  <c r="K13" i="6" s="1"/>
  <c r="G13" i="6"/>
  <c r="E13" i="6"/>
  <c r="J12" i="6"/>
  <c r="K12" i="6" s="1"/>
  <c r="G12" i="6"/>
  <c r="E12" i="6"/>
  <c r="E11" i="6"/>
  <c r="L98" i="5"/>
  <c r="K98" i="5"/>
  <c r="J98" i="5"/>
  <c r="H98" i="5"/>
  <c r="G98" i="5"/>
  <c r="F98" i="5"/>
  <c r="I98" i="5" s="1"/>
  <c r="L89" i="5"/>
  <c r="K89" i="5"/>
  <c r="J89" i="5"/>
  <c r="H89" i="5"/>
  <c r="G89" i="5"/>
  <c r="F89" i="5"/>
  <c r="L75" i="5"/>
  <c r="K75" i="5"/>
  <c r="J75" i="5"/>
  <c r="M75" i="5" s="1"/>
  <c r="H75" i="5"/>
  <c r="G75" i="5"/>
  <c r="F75" i="5"/>
  <c r="L66" i="5"/>
  <c r="K66" i="5"/>
  <c r="J66" i="5"/>
  <c r="H66" i="5"/>
  <c r="G66" i="5"/>
  <c r="F66" i="5"/>
  <c r="L56" i="5"/>
  <c r="K56" i="5"/>
  <c r="J56" i="5"/>
  <c r="H56" i="5"/>
  <c r="G56" i="5"/>
  <c r="F56" i="5"/>
  <c r="R37" i="5"/>
  <c r="N36" i="5"/>
  <c r="P36" i="5" s="1"/>
  <c r="F36" i="5"/>
  <c r="H47" i="4" s="1"/>
  <c r="I51" i="4" s="1"/>
  <c r="N35" i="5"/>
  <c r="T35" i="5" s="1"/>
  <c r="J35" i="5"/>
  <c r="K35" i="5" s="1"/>
  <c r="F35" i="5"/>
  <c r="O34" i="5"/>
  <c r="N34" i="5"/>
  <c r="G34" i="5"/>
  <c r="F34" i="5"/>
  <c r="L34" i="5" s="1"/>
  <c r="O33" i="5"/>
  <c r="N33" i="5"/>
  <c r="G33" i="5"/>
  <c r="F33" i="5"/>
  <c r="I33" i="5" s="1"/>
  <c r="N32" i="5"/>
  <c r="F32" i="5"/>
  <c r="H84" i="4" s="1"/>
  <c r="I88" i="4" s="1"/>
  <c r="N31" i="5"/>
  <c r="T31" i="5" s="1"/>
  <c r="F31" i="5"/>
  <c r="H28" i="4" s="1"/>
  <c r="I32" i="4" s="1"/>
  <c r="N30" i="5"/>
  <c r="F30" i="5"/>
  <c r="H7" i="4" s="1"/>
  <c r="R24" i="5"/>
  <c r="N24" i="5"/>
  <c r="J24" i="5"/>
  <c r="F24" i="5"/>
  <c r="K24" i="5" s="1"/>
  <c r="O23" i="5"/>
  <c r="O36" i="5" s="1"/>
  <c r="G23" i="5"/>
  <c r="G36" i="5" s="1"/>
  <c r="O22" i="5"/>
  <c r="O35" i="5" s="1"/>
  <c r="G22" i="5"/>
  <c r="G35" i="5" s="1"/>
  <c r="G65" i="4" s="1"/>
  <c r="H69" i="4" s="1"/>
  <c r="O19" i="5"/>
  <c r="O32" i="5" s="1"/>
  <c r="C84" i="4" s="1"/>
  <c r="G19" i="5"/>
  <c r="G32" i="5" s="1"/>
  <c r="O18" i="5"/>
  <c r="O31" i="5" s="1"/>
  <c r="G18" i="5"/>
  <c r="G31" i="5" s="1"/>
  <c r="O17" i="5"/>
  <c r="O30" i="5" s="1"/>
  <c r="G17" i="5"/>
  <c r="G30" i="5" s="1"/>
  <c r="R12" i="5"/>
  <c r="O12" i="5"/>
  <c r="N12" i="5"/>
  <c r="J12" i="5"/>
  <c r="G12" i="5"/>
  <c r="F12" i="5"/>
  <c r="P177" i="4"/>
  <c r="P174" i="4"/>
  <c r="P170" i="4"/>
  <c r="Q170" i="4" s="1"/>
  <c r="D93" i="4"/>
  <c r="J92" i="4"/>
  <c r="K92" i="4" s="1"/>
  <c r="G92" i="4"/>
  <c r="E92" i="4"/>
  <c r="J91" i="4"/>
  <c r="K91" i="4" s="1"/>
  <c r="G91" i="4"/>
  <c r="E91" i="4"/>
  <c r="J90" i="4"/>
  <c r="K90" i="4" s="1"/>
  <c r="G90" i="4"/>
  <c r="E90" i="4"/>
  <c r="J89" i="4"/>
  <c r="K89" i="4" s="1"/>
  <c r="G89" i="4"/>
  <c r="E89" i="4"/>
  <c r="G88" i="4"/>
  <c r="E88" i="4"/>
  <c r="D84" i="4"/>
  <c r="B84" i="4"/>
  <c r="D74" i="4"/>
  <c r="J73" i="4"/>
  <c r="K73" i="4" s="1"/>
  <c r="G73" i="4"/>
  <c r="E73" i="4"/>
  <c r="J72" i="4"/>
  <c r="K72" i="4" s="1"/>
  <c r="G72" i="4"/>
  <c r="E72" i="4"/>
  <c r="J71" i="4"/>
  <c r="K71" i="4" s="1"/>
  <c r="G71" i="4"/>
  <c r="E71" i="4"/>
  <c r="J70" i="4"/>
  <c r="K70" i="4" s="1"/>
  <c r="G70" i="4"/>
  <c r="E70" i="4"/>
  <c r="G69" i="4"/>
  <c r="E69" i="4"/>
  <c r="H65" i="4"/>
  <c r="B65" i="4"/>
  <c r="D55" i="4"/>
  <c r="J54" i="4"/>
  <c r="K54" i="4" s="1"/>
  <c r="G54" i="4"/>
  <c r="E54" i="4"/>
  <c r="J53" i="4"/>
  <c r="K53" i="4" s="1"/>
  <c r="G53" i="4"/>
  <c r="E53" i="4"/>
  <c r="J52" i="4"/>
  <c r="K52" i="4" s="1"/>
  <c r="G52" i="4"/>
  <c r="E52" i="4"/>
  <c r="G51" i="4"/>
  <c r="E51" i="4"/>
  <c r="B47" i="4"/>
  <c r="E37" i="4"/>
  <c r="B37" i="4"/>
  <c r="D35" i="4" s="1"/>
  <c r="J36" i="4"/>
  <c r="K36" i="4" s="1"/>
  <c r="G36" i="4"/>
  <c r="D36" i="4"/>
  <c r="J35" i="4"/>
  <c r="K35" i="4" s="1"/>
  <c r="G35" i="4"/>
  <c r="J34" i="4"/>
  <c r="K34" i="4" s="1"/>
  <c r="K37" i="4" s="1"/>
  <c r="G34" i="4"/>
  <c r="J33" i="4"/>
  <c r="K33" i="4" s="1"/>
  <c r="G33" i="4"/>
  <c r="G32" i="4"/>
  <c r="B28" i="4"/>
  <c r="D16" i="4"/>
  <c r="J15" i="4"/>
  <c r="K15" i="4" s="1"/>
  <c r="G15" i="4"/>
  <c r="E15" i="4"/>
  <c r="J14" i="4"/>
  <c r="K14" i="4" s="1"/>
  <c r="G14" i="4"/>
  <c r="E14" i="4"/>
  <c r="J13" i="4"/>
  <c r="K13" i="4" s="1"/>
  <c r="G13" i="4"/>
  <c r="E13" i="4"/>
  <c r="J12" i="4"/>
  <c r="K12" i="4" s="1"/>
  <c r="G12" i="4"/>
  <c r="E12" i="4"/>
  <c r="E11" i="4"/>
  <c r="L97" i="3"/>
  <c r="K97" i="3"/>
  <c r="J97" i="3"/>
  <c r="H97" i="3"/>
  <c r="G97" i="3"/>
  <c r="F97" i="3"/>
  <c r="I97" i="3" s="1"/>
  <c r="L88" i="3"/>
  <c r="K88" i="3"/>
  <c r="J88" i="3"/>
  <c r="H88" i="3"/>
  <c r="G88" i="3"/>
  <c r="F88" i="3"/>
  <c r="L73" i="3"/>
  <c r="K73" i="3"/>
  <c r="J73" i="3"/>
  <c r="H73" i="3"/>
  <c r="I73" i="3" s="1"/>
  <c r="G73" i="3"/>
  <c r="F73" i="3"/>
  <c r="L59" i="3"/>
  <c r="K59" i="3"/>
  <c r="J59" i="3"/>
  <c r="H59" i="3"/>
  <c r="G59" i="3"/>
  <c r="F59" i="3"/>
  <c r="I59" i="3" s="1"/>
  <c r="L51" i="3"/>
  <c r="K51" i="3"/>
  <c r="J51" i="3"/>
  <c r="H51" i="3"/>
  <c r="I51" i="3" s="1"/>
  <c r="G51" i="3"/>
  <c r="F51" i="3"/>
  <c r="R33" i="3"/>
  <c r="N33" i="3"/>
  <c r="J33" i="3"/>
  <c r="F33" i="3"/>
  <c r="L33" i="3" s="1"/>
  <c r="T32" i="3"/>
  <c r="S32" i="3"/>
  <c r="L32" i="3"/>
  <c r="K32" i="3"/>
  <c r="T31" i="3"/>
  <c r="S31" i="3"/>
  <c r="L31" i="3"/>
  <c r="K31" i="3"/>
  <c r="T30" i="3"/>
  <c r="S30" i="3"/>
  <c r="O30" i="3"/>
  <c r="P30" i="3" s="1"/>
  <c r="L30" i="3"/>
  <c r="K30" i="3"/>
  <c r="G30" i="3"/>
  <c r="I30" i="3" s="1"/>
  <c r="T29" i="3"/>
  <c r="S29" i="3"/>
  <c r="L29" i="3"/>
  <c r="K29" i="3"/>
  <c r="T28" i="3"/>
  <c r="S28" i="3"/>
  <c r="L28" i="3"/>
  <c r="K28" i="3"/>
  <c r="T27" i="3"/>
  <c r="S27" i="3"/>
  <c r="O27" i="3"/>
  <c r="L27" i="3"/>
  <c r="K27" i="3"/>
  <c r="R22" i="3"/>
  <c r="N22" i="3"/>
  <c r="J22" i="3"/>
  <c r="F22" i="3"/>
  <c r="O21" i="3"/>
  <c r="O32" i="3" s="1"/>
  <c r="G21" i="3"/>
  <c r="G32" i="3" s="1"/>
  <c r="G47" i="2" s="1"/>
  <c r="H51" i="2" s="1"/>
  <c r="O20" i="3"/>
  <c r="O31" i="3" s="1"/>
  <c r="G20" i="3"/>
  <c r="G31" i="3" s="1"/>
  <c r="I31" i="3" s="1"/>
  <c r="O18" i="3"/>
  <c r="O29" i="3" s="1"/>
  <c r="C84" i="2" s="1"/>
  <c r="G18" i="3"/>
  <c r="G29" i="3" s="1"/>
  <c r="G84" i="2" s="1"/>
  <c r="H88" i="2" s="1"/>
  <c r="O17" i="3"/>
  <c r="O28" i="3" s="1"/>
  <c r="G17" i="3"/>
  <c r="G28" i="3" s="1"/>
  <c r="H28" i="3" s="1"/>
  <c r="O16" i="3"/>
  <c r="G16" i="3"/>
  <c r="G27" i="3" s="1"/>
  <c r="R11" i="3"/>
  <c r="O11" i="3"/>
  <c r="N11" i="3"/>
  <c r="J11" i="3"/>
  <c r="G11" i="3"/>
  <c r="F11" i="3"/>
  <c r="K11" i="3" s="1"/>
  <c r="T10" i="3"/>
  <c r="S10" i="3"/>
  <c r="Q10" i="3"/>
  <c r="P10" i="3"/>
  <c r="L10" i="3"/>
  <c r="K10" i="3"/>
  <c r="I10" i="3"/>
  <c r="H10" i="3"/>
  <c r="T9" i="3"/>
  <c r="S9" i="3"/>
  <c r="Q9" i="3"/>
  <c r="P9" i="3"/>
  <c r="L9" i="3"/>
  <c r="K9" i="3"/>
  <c r="I9" i="3"/>
  <c r="H9" i="3"/>
  <c r="T8" i="3"/>
  <c r="S8" i="3"/>
  <c r="Q8" i="3"/>
  <c r="P8" i="3"/>
  <c r="L8" i="3"/>
  <c r="K8" i="3"/>
  <c r="I8" i="3"/>
  <c r="H8" i="3"/>
  <c r="T7" i="3"/>
  <c r="S7" i="3"/>
  <c r="Q7" i="3"/>
  <c r="P7" i="3"/>
  <c r="L7" i="3"/>
  <c r="K7" i="3"/>
  <c r="I7" i="3"/>
  <c r="H7" i="3"/>
  <c r="T6" i="3"/>
  <c r="S6" i="3"/>
  <c r="Q6" i="3"/>
  <c r="P6" i="3"/>
  <c r="L6" i="3"/>
  <c r="K6" i="3"/>
  <c r="I6" i="3"/>
  <c r="H6" i="3"/>
  <c r="T5" i="3"/>
  <c r="S5" i="3"/>
  <c r="Q5" i="3"/>
  <c r="P5" i="3"/>
  <c r="L5" i="3"/>
  <c r="K5" i="3"/>
  <c r="I5" i="3"/>
  <c r="H5" i="3"/>
  <c r="P177" i="2"/>
  <c r="P174" i="2"/>
  <c r="P170" i="2"/>
  <c r="Q170" i="2" s="1"/>
  <c r="D93" i="2"/>
  <c r="J92" i="2"/>
  <c r="K92" i="2" s="1"/>
  <c r="G92" i="2"/>
  <c r="E92" i="2"/>
  <c r="J91" i="2"/>
  <c r="K91" i="2" s="1"/>
  <c r="G91" i="2"/>
  <c r="E91" i="2"/>
  <c r="J90" i="2"/>
  <c r="K90" i="2" s="1"/>
  <c r="G90" i="2"/>
  <c r="E90" i="2"/>
  <c r="J89" i="2"/>
  <c r="K89" i="2" s="1"/>
  <c r="G89" i="2"/>
  <c r="E89" i="2"/>
  <c r="G88" i="2"/>
  <c r="E88" i="2"/>
  <c r="H84" i="2"/>
  <c r="I88" i="2" s="1"/>
  <c r="D84" i="2"/>
  <c r="B84" i="2"/>
  <c r="D74" i="2"/>
  <c r="J73" i="2"/>
  <c r="K73" i="2" s="1"/>
  <c r="G73" i="2"/>
  <c r="E73" i="2"/>
  <c r="J72" i="2"/>
  <c r="K72" i="2" s="1"/>
  <c r="G72" i="2"/>
  <c r="E72" i="2"/>
  <c r="J71" i="2"/>
  <c r="K71" i="2" s="1"/>
  <c r="G71" i="2"/>
  <c r="E71" i="2"/>
  <c r="J70" i="2"/>
  <c r="K70" i="2" s="1"/>
  <c r="G70" i="2"/>
  <c r="E70" i="2"/>
  <c r="G69" i="2"/>
  <c r="E69" i="2"/>
  <c r="H65" i="2"/>
  <c r="I69" i="2" s="1"/>
  <c r="D65" i="2"/>
  <c r="B65" i="2"/>
  <c r="D55" i="2"/>
  <c r="J54" i="2"/>
  <c r="K54" i="2" s="1"/>
  <c r="G54" i="2"/>
  <c r="E54" i="2"/>
  <c r="J53" i="2"/>
  <c r="K53" i="2" s="1"/>
  <c r="G53" i="2"/>
  <c r="E53" i="2"/>
  <c r="J52" i="2"/>
  <c r="K52" i="2" s="1"/>
  <c r="G52" i="2"/>
  <c r="E52" i="2"/>
  <c r="G51" i="2"/>
  <c r="E51" i="2"/>
  <c r="H47" i="2"/>
  <c r="I51" i="2" s="1"/>
  <c r="D47" i="2"/>
  <c r="B47" i="2"/>
  <c r="E37" i="2"/>
  <c r="B37" i="2"/>
  <c r="D35" i="2" s="1"/>
  <c r="J36" i="2"/>
  <c r="K36" i="2" s="1"/>
  <c r="G36" i="2"/>
  <c r="D36" i="2"/>
  <c r="J35" i="2"/>
  <c r="K35" i="2" s="1"/>
  <c r="G35" i="2"/>
  <c r="J34" i="2"/>
  <c r="K34" i="2" s="1"/>
  <c r="K37" i="2" s="1"/>
  <c r="G34" i="2"/>
  <c r="J33" i="2"/>
  <c r="K33" i="2" s="1"/>
  <c r="G33" i="2"/>
  <c r="G32" i="2"/>
  <c r="H28" i="2"/>
  <c r="I32" i="2" s="1"/>
  <c r="D28" i="2"/>
  <c r="B28" i="2"/>
  <c r="D16" i="2"/>
  <c r="J15" i="2"/>
  <c r="K15" i="2" s="1"/>
  <c r="G15" i="2"/>
  <c r="E15" i="2"/>
  <c r="J14" i="2"/>
  <c r="K14" i="2" s="1"/>
  <c r="G14" i="2"/>
  <c r="E14" i="2"/>
  <c r="J13" i="2"/>
  <c r="K13" i="2" s="1"/>
  <c r="G13" i="2"/>
  <c r="E13" i="2"/>
  <c r="J12" i="2"/>
  <c r="K12" i="2" s="1"/>
  <c r="G12" i="2"/>
  <c r="E12" i="2"/>
  <c r="E11" i="2"/>
  <c r="H7" i="2"/>
  <c r="I11" i="2" s="1"/>
  <c r="D7" i="2"/>
  <c r="P177" i="1"/>
  <c r="P174" i="1"/>
  <c r="P170" i="1"/>
  <c r="Q170" i="1" s="1"/>
  <c r="D93" i="1"/>
  <c r="J92" i="1"/>
  <c r="K92" i="1" s="1"/>
  <c r="G92" i="1"/>
  <c r="E92" i="1"/>
  <c r="J91" i="1"/>
  <c r="K91" i="1" s="1"/>
  <c r="G91" i="1"/>
  <c r="E91" i="1"/>
  <c r="J90" i="1"/>
  <c r="K90" i="1" s="1"/>
  <c r="G90" i="1"/>
  <c r="E90" i="1"/>
  <c r="J89" i="1"/>
  <c r="K89" i="1" s="1"/>
  <c r="G89" i="1"/>
  <c r="E89" i="1"/>
  <c r="I88" i="1"/>
  <c r="H88" i="1"/>
  <c r="J88" i="1" s="1"/>
  <c r="G88" i="1"/>
  <c r="E88" i="1"/>
  <c r="J84" i="1"/>
  <c r="I84" i="1"/>
  <c r="F84" i="1"/>
  <c r="E84" i="1"/>
  <c r="B84" i="1"/>
  <c r="D74" i="1"/>
  <c r="J73" i="1"/>
  <c r="K73" i="1" s="1"/>
  <c r="G73" i="1"/>
  <c r="E73" i="1"/>
  <c r="J72" i="1"/>
  <c r="K72" i="1" s="1"/>
  <c r="G72" i="1"/>
  <c r="E72" i="1"/>
  <c r="J71" i="1"/>
  <c r="K71" i="1" s="1"/>
  <c r="G71" i="1"/>
  <c r="E71" i="1"/>
  <c r="J70" i="1"/>
  <c r="K70" i="1" s="1"/>
  <c r="G70" i="1"/>
  <c r="E70" i="1"/>
  <c r="I69" i="1"/>
  <c r="H69" i="1"/>
  <c r="G69" i="1"/>
  <c r="E69" i="1"/>
  <c r="J65" i="1"/>
  <c r="I65" i="1"/>
  <c r="F65" i="1"/>
  <c r="E65" i="1"/>
  <c r="B65" i="1"/>
  <c r="D55" i="1"/>
  <c r="J54" i="1"/>
  <c r="K54" i="1" s="1"/>
  <c r="G54" i="1"/>
  <c r="E54" i="1"/>
  <c r="J53" i="1"/>
  <c r="K53" i="1" s="1"/>
  <c r="G53" i="1"/>
  <c r="E53" i="1"/>
  <c r="J52" i="1"/>
  <c r="K52" i="1" s="1"/>
  <c r="G52" i="1"/>
  <c r="E52" i="1"/>
  <c r="I51" i="1"/>
  <c r="J51" i="1" s="1"/>
  <c r="K51" i="1" s="1"/>
  <c r="H51" i="1"/>
  <c r="G51" i="1"/>
  <c r="E51" i="1"/>
  <c r="J47" i="1"/>
  <c r="I47" i="1"/>
  <c r="F47" i="1"/>
  <c r="E47" i="1"/>
  <c r="B47" i="1"/>
  <c r="E37" i="1"/>
  <c r="B37" i="1"/>
  <c r="D32" i="1" s="1"/>
  <c r="J36" i="1"/>
  <c r="K36" i="1" s="1"/>
  <c r="G36" i="1"/>
  <c r="J35" i="1"/>
  <c r="K35" i="1" s="1"/>
  <c r="G35" i="1"/>
  <c r="J34" i="1"/>
  <c r="K34" i="1" s="1"/>
  <c r="K37" i="1" s="1"/>
  <c r="G34" i="1"/>
  <c r="J33" i="1"/>
  <c r="K33" i="1" s="1"/>
  <c r="G33" i="1"/>
  <c r="I32" i="1"/>
  <c r="H32" i="1"/>
  <c r="G32" i="1"/>
  <c r="J28" i="1"/>
  <c r="I28" i="1"/>
  <c r="F28" i="1"/>
  <c r="E28" i="1"/>
  <c r="B28" i="1"/>
  <c r="D16" i="1"/>
  <c r="J15" i="1"/>
  <c r="K15" i="1" s="1"/>
  <c r="G15" i="1"/>
  <c r="E15" i="1"/>
  <c r="J14" i="1"/>
  <c r="K14" i="1" s="1"/>
  <c r="G14" i="1"/>
  <c r="E14" i="1"/>
  <c r="J13" i="1"/>
  <c r="K13" i="1" s="1"/>
  <c r="G13" i="1"/>
  <c r="E13" i="1"/>
  <c r="J12" i="1"/>
  <c r="K12" i="1" s="1"/>
  <c r="G12" i="1"/>
  <c r="E12" i="1"/>
  <c r="I11" i="1"/>
  <c r="H11" i="1"/>
  <c r="J11" i="1" s="1"/>
  <c r="E11" i="1"/>
  <c r="J7" i="1"/>
  <c r="I7" i="1"/>
  <c r="F7" i="1"/>
  <c r="E7" i="1"/>
  <c r="E74" i="8" l="1"/>
  <c r="J29" i="15"/>
  <c r="J69" i="1"/>
  <c r="K69" i="1" s="1"/>
  <c r="M89" i="5"/>
  <c r="L30" i="9"/>
  <c r="D33" i="2"/>
  <c r="E93" i="8"/>
  <c r="L102" i="9"/>
  <c r="M102" i="9" s="1"/>
  <c r="K12" i="18"/>
  <c r="J48" i="18"/>
  <c r="K48" i="18" s="1"/>
  <c r="K16" i="6"/>
  <c r="S35" i="5"/>
  <c r="T36" i="5"/>
  <c r="E16" i="6"/>
  <c r="I29" i="15"/>
  <c r="M29" i="15" s="1"/>
  <c r="D33" i="1"/>
  <c r="K30" i="9"/>
  <c r="K74" i="2"/>
  <c r="M51" i="3"/>
  <c r="H102" i="9"/>
  <c r="I102" i="9" s="1"/>
  <c r="K32" i="11"/>
  <c r="L32" i="11" s="1"/>
  <c r="D35" i="1"/>
  <c r="I66" i="5"/>
  <c r="G22" i="9"/>
  <c r="G35" i="9" s="1"/>
  <c r="G65" i="8" s="1"/>
  <c r="H69" i="8" s="1"/>
  <c r="K33" i="15"/>
  <c r="L30" i="5"/>
  <c r="K33" i="3"/>
  <c r="H30" i="3"/>
  <c r="H34" i="9"/>
  <c r="S24" i="7"/>
  <c r="K51" i="11"/>
  <c r="L51" i="11" s="1"/>
  <c r="K76" i="10"/>
  <c r="L76" i="10" s="1"/>
  <c r="I88" i="3"/>
  <c r="K16" i="15"/>
  <c r="K17" i="15" s="1"/>
  <c r="M24" i="15"/>
  <c r="S36" i="5"/>
  <c r="S31" i="5"/>
  <c r="G102" i="10"/>
  <c r="J51" i="2"/>
  <c r="K51" i="2" s="1"/>
  <c r="D47" i="4"/>
  <c r="E93" i="1"/>
  <c r="D32" i="2"/>
  <c r="I56" i="5"/>
  <c r="M88" i="3"/>
  <c r="K55" i="10"/>
  <c r="L55" i="10" s="1"/>
  <c r="M12" i="15"/>
  <c r="M13" i="15" s="1"/>
  <c r="M14" i="15" s="1"/>
  <c r="M15" i="15" s="1"/>
  <c r="E74" i="1"/>
  <c r="L17" i="12"/>
  <c r="L18" i="12" s="1"/>
  <c r="L20" i="12" s="1"/>
  <c r="M32" i="15"/>
  <c r="K74" i="1"/>
  <c r="K76" i="1" s="1"/>
  <c r="E16" i="2"/>
  <c r="D28" i="4"/>
  <c r="H34" i="5"/>
  <c r="H56" i="7"/>
  <c r="I56" i="7" s="1"/>
  <c r="O22" i="7"/>
  <c r="O35" i="7" s="1"/>
  <c r="C65" i="6" s="1"/>
  <c r="D34" i="2"/>
  <c r="H36" i="5"/>
  <c r="K34" i="5"/>
  <c r="D32" i="8"/>
  <c r="G22" i="7"/>
  <c r="G35" i="7" s="1"/>
  <c r="I35" i="7" s="1"/>
  <c r="M98" i="5"/>
  <c r="K54" i="13"/>
  <c r="D36" i="1"/>
  <c r="S33" i="7"/>
  <c r="G18" i="10"/>
  <c r="K115" i="13"/>
  <c r="L115" i="13" s="1"/>
  <c r="H84" i="6"/>
  <c r="I88" i="6" s="1"/>
  <c r="I12" i="9"/>
  <c r="G26" i="16"/>
  <c r="G29" i="16" s="1"/>
  <c r="J26" i="16"/>
  <c r="J29" i="16" s="1"/>
  <c r="D26" i="16"/>
  <c r="D29" i="16" s="1"/>
  <c r="Q35" i="5"/>
  <c r="C65" i="4"/>
  <c r="C47" i="4"/>
  <c r="E47" i="4" s="1"/>
  <c r="Q36" i="5"/>
  <c r="K34" i="15"/>
  <c r="K35" i="15" s="1"/>
  <c r="J32" i="1"/>
  <c r="K32" i="1" s="1"/>
  <c r="I34" i="5"/>
  <c r="K55" i="12"/>
  <c r="L55" i="12" s="1"/>
  <c r="P34" i="9"/>
  <c r="Q30" i="3"/>
  <c r="K55" i="6"/>
  <c r="S30" i="7"/>
  <c r="H34" i="7"/>
  <c r="H28" i="8"/>
  <c r="S34" i="9"/>
  <c r="K70" i="11"/>
  <c r="L70" i="11" s="1"/>
  <c r="G99" i="13"/>
  <c r="L99" i="13"/>
  <c r="K74" i="4"/>
  <c r="L122" i="10"/>
  <c r="L124" i="10" s="1"/>
  <c r="L22" i="3"/>
  <c r="E74" i="4"/>
  <c r="H11" i="3"/>
  <c r="H31" i="5"/>
  <c r="J37" i="5"/>
  <c r="K13" i="13"/>
  <c r="L13" i="13" s="1"/>
  <c r="K94" i="13"/>
  <c r="L94" i="13" s="1"/>
  <c r="I11" i="3"/>
  <c r="K31" i="5"/>
  <c r="H12" i="9"/>
  <c r="L11" i="3"/>
  <c r="L31" i="5"/>
  <c r="I89" i="5"/>
  <c r="T30" i="7"/>
  <c r="D47" i="8"/>
  <c r="H77" i="9"/>
  <c r="I77" i="9" s="1"/>
  <c r="D34" i="1"/>
  <c r="I32" i="5"/>
  <c r="D84" i="6"/>
  <c r="K12" i="9"/>
  <c r="L71" i="11"/>
  <c r="L72" i="11" s="1"/>
  <c r="G39" i="12"/>
  <c r="L119" i="13"/>
  <c r="L121" i="13" s="1"/>
  <c r="Q12" i="7"/>
  <c r="S31" i="7"/>
  <c r="K34" i="12"/>
  <c r="L34" i="12" s="1"/>
  <c r="L41" i="12" s="1"/>
  <c r="K32" i="5"/>
  <c r="L35" i="5"/>
  <c r="T31" i="7"/>
  <c r="K13" i="10"/>
  <c r="L13" i="10" s="1"/>
  <c r="E74" i="2"/>
  <c r="L32" i="5"/>
  <c r="M56" i="5"/>
  <c r="E74" i="6"/>
  <c r="S12" i="7"/>
  <c r="L35" i="7"/>
  <c r="S32" i="9"/>
  <c r="T35" i="9"/>
  <c r="E55" i="1"/>
  <c r="O22" i="3"/>
  <c r="P22" i="3" s="1"/>
  <c r="O22" i="9"/>
  <c r="O35" i="9" s="1"/>
  <c r="C65" i="8" s="1"/>
  <c r="E65" i="8" s="1"/>
  <c r="M25" i="15"/>
  <c r="D11" i="16"/>
  <c r="D14" i="16" s="1"/>
  <c r="D15" i="16" s="1"/>
  <c r="D16" i="16" s="1"/>
  <c r="E70" i="18"/>
  <c r="G11" i="16"/>
  <c r="K68" i="18"/>
  <c r="E16" i="1"/>
  <c r="L24" i="5"/>
  <c r="K33" i="5"/>
  <c r="K36" i="5"/>
  <c r="S32" i="7"/>
  <c r="P33" i="9"/>
  <c r="T36" i="9"/>
  <c r="K93" i="1"/>
  <c r="E55" i="2"/>
  <c r="E93" i="4"/>
  <c r="L33" i="5"/>
  <c r="L36" i="5"/>
  <c r="M66" i="5"/>
  <c r="O17" i="7"/>
  <c r="S33" i="9"/>
  <c r="K13" i="11"/>
  <c r="L13" i="11" s="1"/>
  <c r="K93" i="2"/>
  <c r="K95" i="2" s="1"/>
  <c r="M59" i="3"/>
  <c r="M97" i="3"/>
  <c r="G47" i="4"/>
  <c r="I47" i="4" s="1"/>
  <c r="H12" i="5"/>
  <c r="K76" i="12"/>
  <c r="L76" i="12" s="1"/>
  <c r="L80" i="12" s="1"/>
  <c r="L59" i="13"/>
  <c r="M11" i="15"/>
  <c r="E93" i="2"/>
  <c r="D32" i="4"/>
  <c r="F37" i="5"/>
  <c r="L56" i="7"/>
  <c r="M56" i="7" s="1"/>
  <c r="T24" i="9"/>
  <c r="K33" i="13"/>
  <c r="L33" i="13" s="1"/>
  <c r="L40" i="13" s="1"/>
  <c r="E33" i="18"/>
  <c r="K51" i="18"/>
  <c r="K88" i="1"/>
  <c r="S35" i="9"/>
  <c r="J88" i="2"/>
  <c r="K88" i="2" s="1"/>
  <c r="K74" i="6"/>
  <c r="G23" i="9"/>
  <c r="G36" i="9" s="1"/>
  <c r="G47" i="8" s="1"/>
  <c r="H51" i="8" s="1"/>
  <c r="L66" i="9"/>
  <c r="M66" i="9" s="1"/>
  <c r="G59" i="13"/>
  <c r="D65" i="4"/>
  <c r="H33" i="5"/>
  <c r="K93" i="6"/>
  <c r="K32" i="7"/>
  <c r="L36" i="7"/>
  <c r="G19" i="7"/>
  <c r="G32" i="7" s="1"/>
  <c r="L80" i="13"/>
  <c r="K97" i="10"/>
  <c r="L97" i="10" s="1"/>
  <c r="G18" i="11"/>
  <c r="K30" i="5"/>
  <c r="I75" i="5"/>
  <c r="Q33" i="7"/>
  <c r="L102" i="10"/>
  <c r="G122" i="10"/>
  <c r="M11" i="16"/>
  <c r="J11" i="16"/>
  <c r="K16" i="1"/>
  <c r="O30" i="7"/>
  <c r="K55" i="1"/>
  <c r="K57" i="1" s="1"/>
  <c r="K39" i="1"/>
  <c r="K41" i="1" s="1"/>
  <c r="H35" i="7"/>
  <c r="K93" i="8"/>
  <c r="K93" i="4"/>
  <c r="T34" i="5"/>
  <c r="S34" i="5"/>
  <c r="L12" i="7"/>
  <c r="K12" i="7"/>
  <c r="P29" i="3"/>
  <c r="L60" i="10"/>
  <c r="L62" i="10" s="1"/>
  <c r="L99" i="12"/>
  <c r="K13" i="18"/>
  <c r="K14" i="18" s="1"/>
  <c r="K16" i="18" s="1"/>
  <c r="Q29" i="3"/>
  <c r="O33" i="3"/>
  <c r="P33" i="3" s="1"/>
  <c r="P32" i="3"/>
  <c r="Q32" i="3"/>
  <c r="O37" i="5"/>
  <c r="C7" i="4"/>
  <c r="N37" i="9"/>
  <c r="T30" i="9"/>
  <c r="S30" i="9"/>
  <c r="D7" i="8"/>
  <c r="L91" i="9"/>
  <c r="M91" i="9" s="1"/>
  <c r="Q27" i="3"/>
  <c r="H31" i="3"/>
  <c r="E16" i="4"/>
  <c r="T24" i="5"/>
  <c r="S24" i="5"/>
  <c r="P34" i="5"/>
  <c r="G47" i="6"/>
  <c r="H51" i="6" s="1"/>
  <c r="J51" i="6" s="1"/>
  <c r="K51" i="6" s="1"/>
  <c r="I36" i="7"/>
  <c r="T36" i="7"/>
  <c r="S36" i="7"/>
  <c r="D47" i="6"/>
  <c r="L59" i="12"/>
  <c r="L60" i="12" s="1"/>
  <c r="L62" i="12" s="1"/>
  <c r="K11" i="1"/>
  <c r="O24" i="5"/>
  <c r="Q24" i="5" s="1"/>
  <c r="L31" i="7"/>
  <c r="K31" i="7"/>
  <c r="H28" i="6"/>
  <c r="K32" i="18"/>
  <c r="K33" i="18" s="1"/>
  <c r="K35" i="18" s="1"/>
  <c r="K37" i="18" s="1"/>
  <c r="P27" i="3"/>
  <c r="G28" i="4"/>
  <c r="H32" i="4" s="1"/>
  <c r="I31" i="5"/>
  <c r="H12" i="7"/>
  <c r="K22" i="3"/>
  <c r="C28" i="4"/>
  <c r="Q31" i="5"/>
  <c r="P31" i="5"/>
  <c r="Q34" i="5"/>
  <c r="J69" i="8"/>
  <c r="K69" i="8" s="1"/>
  <c r="K76" i="8" s="1"/>
  <c r="K24" i="9"/>
  <c r="L24" i="9"/>
  <c r="H56" i="9"/>
  <c r="I56" i="9" s="1"/>
  <c r="O17" i="9"/>
  <c r="G19" i="9"/>
  <c r="G32" i="9" s="1"/>
  <c r="G84" i="8" s="1"/>
  <c r="H88" i="8" s="1"/>
  <c r="L77" i="9"/>
  <c r="M77" i="9" s="1"/>
  <c r="G18" i="12"/>
  <c r="G60" i="12"/>
  <c r="G119" i="12"/>
  <c r="I31" i="7"/>
  <c r="I29" i="3"/>
  <c r="H29" i="3"/>
  <c r="T33" i="3"/>
  <c r="S33" i="3"/>
  <c r="M73" i="3"/>
  <c r="I69" i="4"/>
  <c r="J69" i="4" s="1"/>
  <c r="K69" i="4" s="1"/>
  <c r="J65" i="4"/>
  <c r="I65" i="4"/>
  <c r="I12" i="5"/>
  <c r="E93" i="6"/>
  <c r="H76" i="7"/>
  <c r="I76" i="7" s="1"/>
  <c r="O19" i="7"/>
  <c r="O32" i="7" s="1"/>
  <c r="P31" i="9"/>
  <c r="H32" i="3"/>
  <c r="K12" i="5"/>
  <c r="L12" i="5"/>
  <c r="G18" i="7"/>
  <c r="G31" i="7" s="1"/>
  <c r="G28" i="6" s="1"/>
  <c r="H32" i="6" s="1"/>
  <c r="L66" i="7"/>
  <c r="M66" i="7" s="1"/>
  <c r="I99" i="7"/>
  <c r="L12" i="9"/>
  <c r="S31" i="9"/>
  <c r="L39" i="11"/>
  <c r="K104" i="11"/>
  <c r="L104" i="11" s="1"/>
  <c r="K15" i="15"/>
  <c r="F84" i="2"/>
  <c r="E84" i="2"/>
  <c r="G37" i="5"/>
  <c r="I30" i="5"/>
  <c r="G7" i="4"/>
  <c r="H30" i="5"/>
  <c r="L33" i="9"/>
  <c r="K33" i="9"/>
  <c r="I33" i="9"/>
  <c r="I12" i="7"/>
  <c r="K16" i="2"/>
  <c r="I84" i="2"/>
  <c r="J84" i="2"/>
  <c r="K16" i="4"/>
  <c r="K55" i="4"/>
  <c r="E84" i="4"/>
  <c r="F84" i="4"/>
  <c r="H32" i="5"/>
  <c r="G84" i="4"/>
  <c r="T33" i="5"/>
  <c r="S33" i="5"/>
  <c r="Q33" i="5"/>
  <c r="E16" i="8"/>
  <c r="I65" i="8"/>
  <c r="H33" i="9"/>
  <c r="K55" i="2"/>
  <c r="K57" i="2" s="1"/>
  <c r="I32" i="3"/>
  <c r="Q33" i="3"/>
  <c r="J32" i="4"/>
  <c r="K32" i="4" s="1"/>
  <c r="K39" i="4" s="1"/>
  <c r="T30" i="5"/>
  <c r="S30" i="5"/>
  <c r="D7" i="4"/>
  <c r="N37" i="5"/>
  <c r="M90" i="7"/>
  <c r="E55" i="8"/>
  <c r="P12" i="9"/>
  <c r="T12" i="9"/>
  <c r="S12" i="9"/>
  <c r="Q12" i="9"/>
  <c r="C84" i="8"/>
  <c r="P32" i="9"/>
  <c r="L81" i="10"/>
  <c r="L83" i="10" s="1"/>
  <c r="L54" i="13"/>
  <c r="L61" i="13" s="1"/>
  <c r="J66" i="18"/>
  <c r="K66" i="18" s="1"/>
  <c r="E14" i="18"/>
  <c r="I28" i="3"/>
  <c r="L33" i="7"/>
  <c r="K33" i="7"/>
  <c r="I33" i="7"/>
  <c r="H33" i="7"/>
  <c r="J65" i="8"/>
  <c r="Q31" i="9"/>
  <c r="D28" i="8"/>
  <c r="K13" i="12"/>
  <c r="L13" i="12" s="1"/>
  <c r="Q28" i="3"/>
  <c r="C28" i="2"/>
  <c r="P28" i="3"/>
  <c r="I35" i="5"/>
  <c r="H35" i="5"/>
  <c r="K16" i="8"/>
  <c r="G108" i="11"/>
  <c r="G28" i="2"/>
  <c r="I28" i="2" s="1"/>
  <c r="C47" i="2"/>
  <c r="E47" i="2" s="1"/>
  <c r="G65" i="2"/>
  <c r="Q31" i="3"/>
  <c r="C65" i="2"/>
  <c r="P31" i="3"/>
  <c r="I28" i="4"/>
  <c r="P30" i="5"/>
  <c r="T32" i="5"/>
  <c r="P32" i="5"/>
  <c r="S32" i="5"/>
  <c r="Q32" i="5"/>
  <c r="P35" i="5"/>
  <c r="G30" i="7"/>
  <c r="I30" i="7" s="1"/>
  <c r="T22" i="3"/>
  <c r="S22" i="3"/>
  <c r="Q22" i="3"/>
  <c r="I11" i="6"/>
  <c r="D36" i="6"/>
  <c r="D33" i="6"/>
  <c r="D32" i="6"/>
  <c r="D35" i="6"/>
  <c r="H35" i="9"/>
  <c r="L18" i="10"/>
  <c r="G56" i="11"/>
  <c r="L90" i="11"/>
  <c r="C7" i="2"/>
  <c r="E7" i="2" s="1"/>
  <c r="P33" i="5"/>
  <c r="J28" i="4"/>
  <c r="Q30" i="5"/>
  <c r="F37" i="7"/>
  <c r="L30" i="7"/>
  <c r="K30" i="7"/>
  <c r="I34" i="7"/>
  <c r="L34" i="7"/>
  <c r="K34" i="7"/>
  <c r="H47" i="8"/>
  <c r="L36" i="9"/>
  <c r="K36" i="9"/>
  <c r="L18" i="11"/>
  <c r="T35" i="7"/>
  <c r="D65" i="6"/>
  <c r="S35" i="7"/>
  <c r="Q35" i="7"/>
  <c r="L32" i="9"/>
  <c r="K32" i="9"/>
  <c r="T11" i="3"/>
  <c r="S11" i="3"/>
  <c r="Q11" i="3"/>
  <c r="G33" i="3"/>
  <c r="G7" i="2"/>
  <c r="I36" i="5"/>
  <c r="H66" i="7"/>
  <c r="I66" i="7" s="1"/>
  <c r="O18" i="7"/>
  <c r="O31" i="7" s="1"/>
  <c r="Q31" i="7" s="1"/>
  <c r="M76" i="7"/>
  <c r="D36" i="8"/>
  <c r="D33" i="8"/>
  <c r="H84" i="8"/>
  <c r="G60" i="10"/>
  <c r="K115" i="12"/>
  <c r="L115" i="12" s="1"/>
  <c r="H27" i="3"/>
  <c r="E55" i="4"/>
  <c r="P12" i="5"/>
  <c r="T12" i="5"/>
  <c r="S12" i="5"/>
  <c r="Q12" i="5"/>
  <c r="P12" i="7"/>
  <c r="Q32" i="9"/>
  <c r="D84" i="8"/>
  <c r="L56" i="11"/>
  <c r="G119" i="13"/>
  <c r="J16" i="15"/>
  <c r="J17" i="15" s="1"/>
  <c r="I16" i="15"/>
  <c r="I17" i="15" s="1"/>
  <c r="M16" i="15"/>
  <c r="M17" i="15" s="1"/>
  <c r="L24" i="7"/>
  <c r="K24" i="7"/>
  <c r="L35" i="9"/>
  <c r="K35" i="9"/>
  <c r="L17" i="13"/>
  <c r="L19" i="13" s="1"/>
  <c r="D33" i="4"/>
  <c r="P11" i="3"/>
  <c r="I27" i="3"/>
  <c r="Q34" i="7"/>
  <c r="T34" i="7"/>
  <c r="S34" i="7"/>
  <c r="P34" i="7"/>
  <c r="H36" i="7"/>
  <c r="N37" i="7"/>
  <c r="D34" i="8"/>
  <c r="L34" i="9"/>
  <c r="K34" i="9"/>
  <c r="G81" i="10"/>
  <c r="G90" i="11"/>
  <c r="G99" i="12"/>
  <c r="K49" i="18"/>
  <c r="K67" i="18"/>
  <c r="K70" i="18" s="1"/>
  <c r="J47" i="2"/>
  <c r="I47" i="2"/>
  <c r="E55" i="6"/>
  <c r="K31" i="9"/>
  <c r="I31" i="9"/>
  <c r="H31" i="9"/>
  <c r="L56" i="9"/>
  <c r="M56" i="9" s="1"/>
  <c r="G17" i="9"/>
  <c r="O23" i="9"/>
  <c r="O36" i="9" s="1"/>
  <c r="L108" i="11"/>
  <c r="L110" i="11" s="1"/>
  <c r="L119" i="12"/>
  <c r="G22" i="3"/>
  <c r="I11" i="4"/>
  <c r="D34" i="4"/>
  <c r="G24" i="5"/>
  <c r="K36" i="7"/>
  <c r="K55" i="8"/>
  <c r="F37" i="9"/>
  <c r="K85" i="11"/>
  <c r="L85" i="11" s="1"/>
  <c r="K94" i="12"/>
  <c r="L94" i="12" s="1"/>
  <c r="O23" i="7"/>
  <c r="O36" i="7" s="1"/>
  <c r="C47" i="6" s="1"/>
  <c r="J33" i="15"/>
  <c r="J34" i="15" s="1"/>
  <c r="J35" i="15" s="1"/>
  <c r="I33" i="15"/>
  <c r="P33" i="7"/>
  <c r="H90" i="7"/>
  <c r="I90" i="7" s="1"/>
  <c r="Q34" i="9"/>
  <c r="M28" i="15"/>
  <c r="Q33" i="9"/>
  <c r="K40" i="15" l="1"/>
  <c r="H32" i="9"/>
  <c r="G65" i="6"/>
  <c r="I65" i="6" s="1"/>
  <c r="P35" i="7"/>
  <c r="P35" i="9"/>
  <c r="F65" i="4"/>
  <c r="G14" i="16"/>
  <c r="G15" i="16" s="1"/>
  <c r="G16" i="16" s="1"/>
  <c r="M14" i="16"/>
  <c r="M15" i="16" s="1"/>
  <c r="M16" i="16" s="1"/>
  <c r="L37" i="5"/>
  <c r="K95" i="1"/>
  <c r="Q35" i="9"/>
  <c r="I35" i="9"/>
  <c r="L58" i="11"/>
  <c r="J14" i="16"/>
  <c r="J15" i="16" s="1"/>
  <c r="J16" i="16" s="1"/>
  <c r="K52" i="18"/>
  <c r="K54" i="18" s="1"/>
  <c r="K76" i="4"/>
  <c r="L74" i="11"/>
  <c r="L121" i="12"/>
  <c r="F47" i="2"/>
  <c r="I37" i="5"/>
  <c r="F7" i="2"/>
  <c r="P36" i="7"/>
  <c r="H31" i="7"/>
  <c r="I32" i="8"/>
  <c r="J32" i="8" s="1"/>
  <c r="K32" i="8" s="1"/>
  <c r="K39" i="8" s="1"/>
  <c r="J28" i="8"/>
  <c r="I28" i="8"/>
  <c r="H32" i="7"/>
  <c r="I32" i="7"/>
  <c r="G84" i="6"/>
  <c r="I32" i="9"/>
  <c r="G24" i="7"/>
  <c r="I24" i="7" s="1"/>
  <c r="K72" i="18"/>
  <c r="H36" i="9"/>
  <c r="L20" i="11"/>
  <c r="I36" i="9"/>
  <c r="L20" i="10"/>
  <c r="J47" i="4"/>
  <c r="E65" i="4"/>
  <c r="I47" i="6"/>
  <c r="H51" i="4"/>
  <c r="J51" i="4" s="1"/>
  <c r="K51" i="4" s="1"/>
  <c r="F65" i="8"/>
  <c r="K37" i="5"/>
  <c r="K57" i="6"/>
  <c r="L104" i="10"/>
  <c r="L101" i="13"/>
  <c r="F47" i="4"/>
  <c r="P32" i="7"/>
  <c r="C84" i="6"/>
  <c r="J28" i="6"/>
  <c r="I28" i="6"/>
  <c r="I32" i="6"/>
  <c r="J32" i="6" s="1"/>
  <c r="K32" i="6" s="1"/>
  <c r="K39" i="6" s="1"/>
  <c r="L101" i="12"/>
  <c r="E65" i="2"/>
  <c r="F65" i="2"/>
  <c r="Q36" i="9"/>
  <c r="C47" i="8"/>
  <c r="I40" i="15"/>
  <c r="H37" i="5"/>
  <c r="T37" i="5"/>
  <c r="S37" i="5"/>
  <c r="Q37" i="5"/>
  <c r="P37" i="5"/>
  <c r="H11" i="2"/>
  <c r="J11" i="2" s="1"/>
  <c r="K11" i="2" s="1"/>
  <c r="J7" i="2"/>
  <c r="I7" i="2"/>
  <c r="F28" i="8"/>
  <c r="E28" i="8"/>
  <c r="P24" i="5"/>
  <c r="I88" i="8"/>
  <c r="J88" i="8" s="1"/>
  <c r="K88" i="8" s="1"/>
  <c r="K95" i="8" s="1"/>
  <c r="J84" i="8"/>
  <c r="I84" i="8"/>
  <c r="H33" i="3"/>
  <c r="I33" i="3"/>
  <c r="H30" i="7"/>
  <c r="F47" i="6"/>
  <c r="E47" i="6"/>
  <c r="H69" i="6"/>
  <c r="J69" i="6" s="1"/>
  <c r="K69" i="6" s="1"/>
  <c r="K76" i="6" s="1"/>
  <c r="L37" i="9"/>
  <c r="K37" i="9"/>
  <c r="J47" i="6"/>
  <c r="F28" i="2"/>
  <c r="E28" i="2"/>
  <c r="T37" i="9"/>
  <c r="S37" i="9"/>
  <c r="O37" i="7"/>
  <c r="Q37" i="7" s="1"/>
  <c r="C7" i="6"/>
  <c r="P30" i="7"/>
  <c r="O24" i="7"/>
  <c r="E7" i="4"/>
  <c r="F7" i="4"/>
  <c r="F28" i="4"/>
  <c r="E28" i="4"/>
  <c r="E84" i="8"/>
  <c r="F84" i="8"/>
  <c r="Q36" i="7"/>
  <c r="K18" i="1"/>
  <c r="T37" i="7"/>
  <c r="S37" i="7"/>
  <c r="L37" i="7"/>
  <c r="K37" i="7"/>
  <c r="G37" i="7"/>
  <c r="H37" i="7" s="1"/>
  <c r="G7" i="6"/>
  <c r="K57" i="4"/>
  <c r="J40" i="15"/>
  <c r="F65" i="6"/>
  <c r="E65" i="6"/>
  <c r="K18" i="2"/>
  <c r="P36" i="9"/>
  <c r="L92" i="11"/>
  <c r="H88" i="4"/>
  <c r="J88" i="4" s="1"/>
  <c r="K88" i="4" s="1"/>
  <c r="K95" i="4" s="1"/>
  <c r="J84" i="4"/>
  <c r="I84" i="4"/>
  <c r="C28" i="6"/>
  <c r="P31" i="7"/>
  <c r="I22" i="3"/>
  <c r="H22" i="3"/>
  <c r="H11" i="4"/>
  <c r="J11" i="4" s="1"/>
  <c r="K11" i="4" s="1"/>
  <c r="K18" i="4" s="1"/>
  <c r="I7" i="4"/>
  <c r="M18" i="15"/>
  <c r="I51" i="8"/>
  <c r="J51" i="8" s="1"/>
  <c r="K51" i="8" s="1"/>
  <c r="K57" i="8" s="1"/>
  <c r="J47" i="8"/>
  <c r="I47" i="8"/>
  <c r="G30" i="9"/>
  <c r="G24" i="9"/>
  <c r="H69" i="2"/>
  <c r="J69" i="2" s="1"/>
  <c r="K69" i="2" s="1"/>
  <c r="K76" i="2" s="1"/>
  <c r="I65" i="2"/>
  <c r="J65" i="2"/>
  <c r="I34" i="15"/>
  <c r="I35" i="15" s="1"/>
  <c r="M33" i="15"/>
  <c r="M34" i="15" s="1"/>
  <c r="M35" i="15" s="1"/>
  <c r="M36" i="15" s="1"/>
  <c r="J28" i="2"/>
  <c r="H32" i="2"/>
  <c r="J32" i="2" s="1"/>
  <c r="K32" i="2" s="1"/>
  <c r="K39" i="2" s="1"/>
  <c r="O30" i="9"/>
  <c r="O24" i="9"/>
  <c r="I24" i="5"/>
  <c r="H24" i="5"/>
  <c r="Q30" i="7"/>
  <c r="Q32" i="7"/>
  <c r="J7" i="4"/>
  <c r="J65" i="6" l="1"/>
  <c r="H88" i="6"/>
  <c r="J88" i="6" s="1"/>
  <c r="K88" i="6" s="1"/>
  <c r="K95" i="6" s="1"/>
  <c r="I84" i="6"/>
  <c r="J84" i="6"/>
  <c r="H24" i="7"/>
  <c r="M40" i="15"/>
  <c r="F28" i="6"/>
  <c r="E28" i="6"/>
  <c r="F7" i="6"/>
  <c r="E7" i="6"/>
  <c r="M41" i="15"/>
  <c r="I30" i="9"/>
  <c r="G7" i="8"/>
  <c r="G37" i="9"/>
  <c r="H30" i="9"/>
  <c r="Q24" i="9"/>
  <c r="P24" i="9"/>
  <c r="I37" i="7"/>
  <c r="P37" i="7"/>
  <c r="F84" i="6"/>
  <c r="E84" i="6"/>
  <c r="H11" i="6"/>
  <c r="J11" i="6" s="1"/>
  <c r="K11" i="6" s="1"/>
  <c r="K18" i="6" s="1"/>
  <c r="J7" i="6"/>
  <c r="I7" i="6"/>
  <c r="F47" i="8"/>
  <c r="E47" i="8"/>
  <c r="O37" i="9"/>
  <c r="C7" i="8"/>
  <c r="Q30" i="9"/>
  <c r="P30" i="9"/>
  <c r="I24" i="9"/>
  <c r="H24" i="9"/>
  <c r="Q24" i="7"/>
  <c r="P24" i="7"/>
  <c r="F7" i="8" l="1"/>
  <c r="E7" i="8"/>
  <c r="Q37" i="9"/>
  <c r="P37" i="9"/>
  <c r="H11" i="8"/>
  <c r="J11" i="8" s="1"/>
  <c r="K11" i="8" s="1"/>
  <c r="K18" i="8" s="1"/>
  <c r="J7" i="8"/>
  <c r="I7" i="8"/>
  <c r="I37" i="9"/>
  <c r="H37" i="9"/>
</calcChain>
</file>

<file path=xl/sharedStrings.xml><?xml version="1.0" encoding="utf-8"?>
<sst xmlns="http://schemas.openxmlformats.org/spreadsheetml/2006/main" count="2761" uniqueCount="319">
  <si>
    <t>CALCULO DE BONOS ENERO</t>
  </si>
  <si>
    <t>REGION OCCIDENTE</t>
  </si>
  <si>
    <t>KILOS</t>
  </si>
  <si>
    <t>Variacion</t>
  </si>
  <si>
    <t>PESOS</t>
  </si>
  <si>
    <t>MES</t>
  </si>
  <si>
    <t xml:space="preserve">Presupuesto </t>
  </si>
  <si>
    <t xml:space="preserve">Real </t>
  </si>
  <si>
    <t>KG</t>
  </si>
  <si>
    <t>%</t>
  </si>
  <si>
    <t>$</t>
  </si>
  <si>
    <t>ENERO</t>
  </si>
  <si>
    <t xml:space="preserve">COMPOSICION BONO </t>
  </si>
  <si>
    <t>ALCANCE DE OBJETIVOS</t>
  </si>
  <si>
    <t>Bono</t>
  </si>
  <si>
    <t xml:space="preserve">Concepto </t>
  </si>
  <si>
    <t>% Bono</t>
  </si>
  <si>
    <t>Monto</t>
  </si>
  <si>
    <t>Presupuesto</t>
  </si>
  <si>
    <t>Real</t>
  </si>
  <si>
    <t>% Cobertura</t>
  </si>
  <si>
    <t>Objetivo Minimo</t>
  </si>
  <si>
    <t>Cumplimiento Presupuesto</t>
  </si>
  <si>
    <t>Cierre de 3 pedidos  1000 Kgcon clientes actuales de FMC</t>
  </si>
  <si>
    <t>Contar con calendario de pruebas inicios de año 2020</t>
  </si>
  <si>
    <t>Presentar estrategica por region Occidente 2020</t>
  </si>
  <si>
    <t xml:space="preserve">Presentar presupuesto lunes 6 de Diciembre </t>
  </si>
  <si>
    <t>Total</t>
  </si>
  <si>
    <t>Total sin Presupuesto</t>
  </si>
  <si>
    <t>TOTAL</t>
  </si>
  <si>
    <t>REGION PACIFICO</t>
  </si>
  <si>
    <t xml:space="preserve"> </t>
  </si>
  <si>
    <t xml:space="preserve">Pruebas atorizadas por realizar con cliente </t>
  </si>
  <si>
    <t xml:space="preserve">Armado e implementación estrategia Baja California </t>
  </si>
  <si>
    <t>Presentar estrategica por región 2020</t>
  </si>
  <si>
    <t>Abono adeudo Marinador</t>
  </si>
  <si>
    <t xml:space="preserve">Total a pagar </t>
  </si>
  <si>
    <t>REGION BAJIO</t>
  </si>
  <si>
    <t xml:space="preserve">Aplicación de pruebas unidades de chorizo </t>
  </si>
  <si>
    <t xml:space="preserve">Prospectación </t>
  </si>
  <si>
    <t xml:space="preserve">Cierre de venta con productos nuevos AGR </t>
  </si>
  <si>
    <t>ALTOS NORTE</t>
  </si>
  <si>
    <t>Cierre de 3 pedidos  300 Kgcon clientes actuales de FMC</t>
  </si>
  <si>
    <t>Presentar estrategica por region  2020</t>
  </si>
  <si>
    <t>ATENCION TELEFONICA</t>
  </si>
  <si>
    <t>CALCULO DE BONOS FEBRERO</t>
  </si>
  <si>
    <t>FEBRERO</t>
  </si>
  <si>
    <t>COORDINACION DE VENTAS</t>
  </si>
  <si>
    <t>PRESUPUESTO ORIGINAL</t>
  </si>
  <si>
    <t>Importes</t>
  </si>
  <si>
    <t>Kilogramos</t>
  </si>
  <si>
    <t>Clave</t>
  </si>
  <si>
    <t>Region</t>
  </si>
  <si>
    <t>Pres</t>
  </si>
  <si>
    <t>Dif</t>
  </si>
  <si>
    <t>% Inc</t>
  </si>
  <si>
    <t>Occidente</t>
  </si>
  <si>
    <t>Pacifico</t>
  </si>
  <si>
    <t>Servicio al cliente</t>
  </si>
  <si>
    <t>Mexico</t>
  </si>
  <si>
    <t>Altos Norte</t>
  </si>
  <si>
    <t>Bajio</t>
  </si>
  <si>
    <t>PERDIDA VENTA ESSENTIA</t>
  </si>
  <si>
    <t>PRESUPUESTO MODIFICADO</t>
  </si>
  <si>
    <t>OCCIDENTE</t>
  </si>
  <si>
    <t>Vend</t>
  </si>
  <si>
    <t>Cte</t>
  </si>
  <si>
    <t>Nombre</t>
  </si>
  <si>
    <t xml:space="preserve">Código      </t>
  </si>
  <si>
    <t>Descripcion</t>
  </si>
  <si>
    <t>DIF</t>
  </si>
  <si>
    <t>327</t>
  </si>
  <si>
    <t>EMPACADORAS UNIDAS DE LA PIEDAD SA DE CV</t>
  </si>
  <si>
    <t>PRO5500</t>
  </si>
  <si>
    <t>APROPORK BOL 25 Kg</t>
  </si>
  <si>
    <t>481</t>
  </si>
  <si>
    <t>GRUPO BRAVO NUÑO S.C. DE R.L. DE C.V.</t>
  </si>
  <si>
    <t>PROAPR</t>
  </si>
  <si>
    <t>APRORED BOLSA 1KG</t>
  </si>
  <si>
    <t>313</t>
  </si>
  <si>
    <t>CARNES FINAS DE LA SIERRA SA DE CV</t>
  </si>
  <si>
    <t>485</t>
  </si>
  <si>
    <t>PRODUCTOS EL GRAN CHAPARRAL SA DE CV</t>
  </si>
  <si>
    <t>657</t>
  </si>
  <si>
    <t>HECTOR ALONSO ZARATE QUIROZ</t>
  </si>
  <si>
    <t>038</t>
  </si>
  <si>
    <t>EMPACADORA BONNACARNE SA DE CV</t>
  </si>
  <si>
    <t>009</t>
  </si>
  <si>
    <t>EMPACADORA EL CENTENARIO, SA DE CV</t>
  </si>
  <si>
    <t>476</t>
  </si>
  <si>
    <t>OMEX ALIMENTARIA SA DE CV</t>
  </si>
  <si>
    <t>PROAPR10</t>
  </si>
  <si>
    <t>COM0213 APRORED BOLSA 10KG</t>
  </si>
  <si>
    <t>PACIFICO</t>
  </si>
  <si>
    <t>012</t>
  </si>
  <si>
    <t>KAREY ALIMENTOS, SA DE CV</t>
  </si>
  <si>
    <t>COORDINADORA DE VENTAS</t>
  </si>
  <si>
    <t>654</t>
  </si>
  <si>
    <t>LUIS ALBERTO MACHAIN GONZALEZ</t>
  </si>
  <si>
    <t>601</t>
  </si>
  <si>
    <t>VILLESPA, SPR DE RL</t>
  </si>
  <si>
    <t>714</t>
  </si>
  <si>
    <t>Cooperativa de produccion pesquera el palacio, SC de RL</t>
  </si>
  <si>
    <t>103</t>
  </si>
  <si>
    <t>MARIA ESTHER JAUREGUI VELASCO</t>
  </si>
  <si>
    <t>APROPORK BOL 20 Kg</t>
  </si>
  <si>
    <t>518</t>
  </si>
  <si>
    <t>INTEGRADORA PECUARIA GURMA S.P.R. DE R.L. DE C.V.</t>
  </si>
  <si>
    <t>746</t>
  </si>
  <si>
    <t>FREEZER MEALS, S.A DE C.V</t>
  </si>
  <si>
    <t>738</t>
  </si>
  <si>
    <t>JUAN ALBERTO RODRIGUEZ LLANES</t>
  </si>
  <si>
    <t>340</t>
  </si>
  <si>
    <t>PRODUCTOS JAMEX SA DE CV</t>
  </si>
  <si>
    <t>037</t>
  </si>
  <si>
    <t>MAXIM ALIMENTOS SA DE CV</t>
  </si>
  <si>
    <t>515</t>
  </si>
  <si>
    <t>CARNES SELECTAS EL CIEN, SA DE CV</t>
  </si>
  <si>
    <t>708</t>
  </si>
  <si>
    <t>EVANGELINA BAUTISTA SANCHEZ</t>
  </si>
  <si>
    <t>013</t>
  </si>
  <si>
    <t>EMBUTIDOS SUPREMOS, SA DE CV</t>
  </si>
  <si>
    <t>030</t>
  </si>
  <si>
    <t>EMPACADORA ESTRELLA, SA DE CV</t>
  </si>
  <si>
    <t>769</t>
  </si>
  <si>
    <t>EMBOTIT DEL PATRON SA DE CV</t>
  </si>
  <si>
    <t>BAJIO</t>
  </si>
  <si>
    <t>093</t>
  </si>
  <si>
    <t>EMPACADORA CELAYA SA DE CV</t>
  </si>
  <si>
    <t>CALCULO DE BONOS MARZO</t>
  </si>
  <si>
    <t>MARZO</t>
  </si>
  <si>
    <t>Coordinadora de Ventas</t>
  </si>
  <si>
    <t>Cuentas Clave</t>
  </si>
  <si>
    <t>099</t>
  </si>
  <si>
    <t>COMERCIALIZADORA DE EMBUTIDOS ICO SA DE CV</t>
  </si>
  <si>
    <t>553</t>
  </si>
  <si>
    <t>INDUSTRIAS PECUARIAS AYENSE SPR DE RL DE CV</t>
  </si>
  <si>
    <t>298</t>
  </si>
  <si>
    <t>JOSE ADAN BERNAL GARCIA</t>
  </si>
  <si>
    <t>773</t>
  </si>
  <si>
    <t>JESUS ALBERTO BERNAL GARCIA</t>
  </si>
  <si>
    <t>542</t>
  </si>
  <si>
    <t>NESTOR LOZA QUISTIANO</t>
  </si>
  <si>
    <t>CALCULO DE BONOS ABRIL</t>
  </si>
  <si>
    <t>ABRIL</t>
  </si>
  <si>
    <t>CALCULO DE BONOS MAYO</t>
  </si>
  <si>
    <t>MAYO</t>
  </si>
  <si>
    <t>Coord Ventas</t>
  </si>
  <si>
    <t>174</t>
  </si>
  <si>
    <t>CARNES SELECTAS EL JALISCIENSE SA DE CV</t>
  </si>
  <si>
    <t>106</t>
  </si>
  <si>
    <t>VENTAS DE MOSTRADOR</t>
  </si>
  <si>
    <t>736</t>
  </si>
  <si>
    <t>MARIA DEL CARMEN MANCILLA MARTINEZ</t>
  </si>
  <si>
    <t>678</t>
  </si>
  <si>
    <t>DISTRIBUCIONES PAVA SA DE CV</t>
  </si>
  <si>
    <t>CALCULO DE BONOS JUNIO</t>
  </si>
  <si>
    <t>CUENTAS CLAVE</t>
  </si>
  <si>
    <t>CALCULO DE BONOS JULIO</t>
  </si>
  <si>
    <t xml:space="preserve">Prospeccion y filtrado Morelia </t>
  </si>
  <si>
    <t xml:space="preserve">Prospeccion y filtrado Aguascalientes </t>
  </si>
  <si>
    <t>Promoción de prospectos de inyección de cerdo NAVSA , SIERRA</t>
  </si>
  <si>
    <t>Desplazamiento carragenina 84400 300 KG</t>
  </si>
  <si>
    <t xml:space="preserve">Evaluación y plan de impulso almidones modificados nuevos </t>
  </si>
  <si>
    <t>Cierre super chivas, Meza, Cornejo , Sasa Sonora</t>
  </si>
  <si>
    <t xml:space="preserve">Crecer la saturación de productos por cliente </t>
  </si>
  <si>
    <t>Desplazamiento carragenina 84400 500 KG</t>
  </si>
  <si>
    <t>Venta de nuevos productos de ingredion 500 KG</t>
  </si>
  <si>
    <t xml:space="preserve">Visita a Morelia primeros cierres de venta </t>
  </si>
  <si>
    <t>Promoción de nuevos productos ( marinadores, ajo , cebolla, conservador 2020)</t>
  </si>
  <si>
    <t xml:space="preserve">Generar 50 mil pesos de venta extra </t>
  </si>
  <si>
    <t>BONO POR RESULTADO</t>
  </si>
  <si>
    <t>BONO POR PROCESO</t>
  </si>
  <si>
    <t>AJUSTE TRIMESTRAL</t>
  </si>
  <si>
    <t>BONO A PAGAR MARZO</t>
  </si>
  <si>
    <t>Sueldo base (Fijo):</t>
  </si>
  <si>
    <t>Bono mensual (Variable):</t>
  </si>
  <si>
    <t>OCTUBRE</t>
  </si>
  <si>
    <t>NOVIEMBRE</t>
  </si>
  <si>
    <t>DICIEMBRE</t>
  </si>
  <si>
    <t xml:space="preserve">Revisión trimestral </t>
  </si>
  <si>
    <t>RESULTADO:</t>
  </si>
  <si>
    <t>Ponderación</t>
  </si>
  <si>
    <t>Meta:</t>
  </si>
  <si>
    <t xml:space="preserve">Alcance mínimo </t>
  </si>
  <si>
    <t>Resultado:</t>
  </si>
  <si>
    <t>Tope superor</t>
  </si>
  <si>
    <t>Superávit/ déficit vs. meta</t>
  </si>
  <si>
    <t>Bono por resultado:</t>
  </si>
  <si>
    <t>Avance vs. meta</t>
  </si>
  <si>
    <t>Margen de contribucion mayor al 35 %</t>
  </si>
  <si>
    <t>Candidato pago de bono</t>
  </si>
  <si>
    <t>Validación limite superior</t>
  </si>
  <si>
    <t>Cálculo bono</t>
  </si>
  <si>
    <t>Validación bono por resultado</t>
  </si>
  <si>
    <t>Bono resultados:</t>
  </si>
  <si>
    <t>Ajuste Trimestral</t>
  </si>
  <si>
    <t>PROCESO:</t>
  </si>
  <si>
    <t xml:space="preserve">Total </t>
  </si>
  <si>
    <t>Meta Registro de proyectos clientes nuevos</t>
  </si>
  <si>
    <t>Registro de proyectos clientes nuevos en las plataformas asignadas</t>
  </si>
  <si>
    <t>Resultado Registro de proyectos clientes nuevos</t>
  </si>
  <si>
    <t>Registro de proyectos clientes actuales en las plataformas asignadas</t>
  </si>
  <si>
    <t>Eficiencia en cierre</t>
  </si>
  <si>
    <t>Subtotal bono proceso 1/3</t>
  </si>
  <si>
    <t>Meta Registro de proyectos clientes actuales</t>
  </si>
  <si>
    <t>Bono por procesos:</t>
  </si>
  <si>
    <t>Resultado Registro de proyectos clientes actuales</t>
  </si>
  <si>
    <t>Meter Alcance en los procesos</t>
  </si>
  <si>
    <t>Subtotal bono proceso 2/3</t>
  </si>
  <si>
    <t>Meta Eficiencia en cierre</t>
  </si>
  <si>
    <t>Resultado Eficiencia en cierre</t>
  </si>
  <si>
    <t>Subtotal bono proceso 3/3</t>
  </si>
  <si>
    <t>Validación bono por procesos</t>
  </si>
  <si>
    <t>Bono procesos:</t>
  </si>
  <si>
    <t>INTEGRACIÓN RESULTADOS</t>
  </si>
  <si>
    <t xml:space="preserve">Total Mensual Integrado </t>
  </si>
  <si>
    <t>KPI´S Comercial</t>
  </si>
  <si>
    <t>Ponderacion</t>
  </si>
  <si>
    <t>Sonia</t>
  </si>
  <si>
    <t>Yareli</t>
  </si>
  <si>
    <t>Eli</t>
  </si>
  <si>
    <t>Carlos</t>
  </si>
  <si>
    <t>Objetivo</t>
  </si>
  <si>
    <t>% Cumpl.</t>
  </si>
  <si>
    <t>Contactar Clientes</t>
  </si>
  <si>
    <t>Citas</t>
  </si>
  <si>
    <t>Proyectos Prospectos/Leads</t>
  </si>
  <si>
    <t>Proyectos Clientes Actuales</t>
  </si>
  <si>
    <t>Proyectos Ganados</t>
  </si>
  <si>
    <t>% Cumplimiento Ponderado</t>
  </si>
  <si>
    <t>Objetivo Minimo para recibir bono (%)</t>
  </si>
  <si>
    <t>Bono Objetivo ($)</t>
  </si>
  <si>
    <t>BONO A PAGAR ($)</t>
  </si>
  <si>
    <t>KPI´S Proyectos</t>
  </si>
  <si>
    <t>Cristina</t>
  </si>
  <si>
    <t>Luis</t>
  </si>
  <si>
    <t>Alex</t>
  </si>
  <si>
    <t>Proyectos</t>
  </si>
  <si>
    <t>Cumplimiento de Fechas</t>
  </si>
  <si>
    <t>Calidad Técnica: Precisión y la falta de errores.</t>
  </si>
  <si>
    <t>Optimización de levantamiento: Comunicación con el cliente.</t>
  </si>
  <si>
    <t>Líder</t>
  </si>
  <si>
    <t>Nomproy</t>
  </si>
  <si>
    <t>Codproy</t>
  </si>
  <si>
    <t>Cliente</t>
  </si>
  <si>
    <t>Contacto</t>
  </si>
  <si>
    <t>Telcontacto</t>
  </si>
  <si>
    <t>Envdate</t>
  </si>
  <si>
    <t>Reqdate</t>
  </si>
  <si>
    <t>Obradate</t>
  </si>
  <si>
    <t>Prioridad</t>
  </si>
  <si>
    <t>Giro</t>
  </si>
  <si>
    <t>Carpeta Cuisine</t>
  </si>
  <si>
    <t>Sistema Alpin</t>
  </si>
  <si>
    <t>Volumetría</t>
  </si>
  <si>
    <t>Cotización</t>
  </si>
  <si>
    <t>Cierre</t>
  </si>
  <si>
    <t>Anticipo</t>
  </si>
  <si>
    <t>Almacén de proyecto</t>
  </si>
  <si>
    <t>sG</t>
  </si>
  <si>
    <t>Facturación</t>
  </si>
  <si>
    <t>Finiquito</t>
  </si>
  <si>
    <t>Entrega</t>
  </si>
  <si>
    <t>Avance</t>
  </si>
  <si>
    <t>Semáforo</t>
  </si>
  <si>
    <t>Observaciones</t>
  </si>
  <si>
    <t>Sonia Huerta</t>
  </si>
  <si>
    <t>GIMNASIO PASEO DEL BOSQUE</t>
  </si>
  <si>
    <t>30-2-IL</t>
  </si>
  <si>
    <t>ALVAREZ PINTADO DIEGO</t>
  </si>
  <si>
    <t xml:space="preserve">ING. MIGUEL RINCÓN </t>
  </si>
  <si>
    <t>33 3662 1441</t>
  </si>
  <si>
    <t>Alta</t>
  </si>
  <si>
    <t>Iluminación</t>
  </si>
  <si>
    <t>£</t>
  </si>
  <si>
    <t>PQ INSEL - AVANT TLJ NAVE 4</t>
  </si>
  <si>
    <t>443-3-Il</t>
  </si>
  <si>
    <t>PQ INSEL</t>
  </si>
  <si>
    <t>R</t>
  </si>
  <si>
    <t>Valtria Cuautitlán, Edo Mex - Almacén</t>
  </si>
  <si>
    <t>89-33-Il</t>
  </si>
  <si>
    <t>VALTRIA ENGINEERING</t>
  </si>
  <si>
    <t>GCPI GIMNASIO GDL</t>
  </si>
  <si>
    <t>261-8-IL</t>
  </si>
  <si>
    <t>GRUPO CONSTRUCTOR Y PROMOTOR INDUSTRIAL</t>
  </si>
  <si>
    <t>JULIO - REGION OCCIDENTE</t>
  </si>
  <si>
    <t>JULIO</t>
  </si>
  <si>
    <t xml:space="preserve">Desarrollo de nuevo producto para sustituación de Ligador / presentación de resultados </t>
  </si>
  <si>
    <t>Recuperación de cartera vencida</t>
  </si>
  <si>
    <t>*</t>
  </si>
  <si>
    <t>* 0% de recuperacion con Bonnacarne, 60% Con SASA pero 100% con La Piedad</t>
  </si>
  <si>
    <t>JULIO - REGION PACIFICO</t>
  </si>
  <si>
    <t>Presentación de resultados sensoriales , promoción con cliente objetivo</t>
  </si>
  <si>
    <t>Recuperación de cartera</t>
  </si>
  <si>
    <t>**</t>
  </si>
  <si>
    <t>*84% de recuperacion con SASA, el resto de sus clientes 100% o mas</t>
  </si>
  <si>
    <t>JULIO - REGION BAJIO</t>
  </si>
  <si>
    <t>*** Sin registros de prospectos nuevos en CRM</t>
  </si>
  <si>
    <t>JULIO - ALTOS NORTE</t>
  </si>
  <si>
    <t xml:space="preserve">Conocimiento total de los 45 clientes de la cartera </t>
  </si>
  <si>
    <t>Desarrollo e implementacion de procedimiento de nuevos productos ( validaciones , pruebas etc)</t>
  </si>
  <si>
    <t>Actualizacion de fichas de cliente, CRM totalmente actualizado y respetando todas las etapas del proceso.</t>
  </si>
  <si>
    <t>Cada persona ahora tiene 3 columnas por KPI en vez de 2:</t>
  </si>
  <si>
    <r>
      <t>Objetivo</t>
    </r>
    <r>
      <rPr>
        <sz val="11"/>
        <color theme="1"/>
        <rFont val="Calibri"/>
        <family val="2"/>
        <charset val="1"/>
      </rPr>
      <t xml:space="preserve"> y </t>
    </r>
    <r>
      <rPr>
        <b/>
        <sz val="11"/>
        <color theme="1"/>
        <rFont val="Calibri"/>
        <family val="2"/>
        <charset val="1"/>
      </rPr>
      <t>Real</t>
    </r>
    <r>
      <rPr>
        <sz val="11"/>
        <color theme="1"/>
        <rFont val="Calibri"/>
        <family val="2"/>
        <charset val="1"/>
      </rPr>
      <t xml:space="preserve"> (las capturas, amarillo) — igual que antes.</t>
    </r>
  </si>
  <si>
    <r>
      <t>% Cumpl.</t>
    </r>
    <r>
      <rPr>
        <sz val="11"/>
        <color theme="1"/>
        <rFont val="Calibri"/>
        <family val="2"/>
        <charset val="1"/>
      </rPr>
      <t xml:space="preserve"> (nueva, automática) = Real/Objetivo, topado a 100% para que un sobre-cumplimiento en un KPI no infle el promedio.</t>
    </r>
  </si>
  <si>
    <t>Abajo de los 6 KPIs agregué el bloque de cálculo (columna "Real" de cada persona):</t>
  </si>
  <si>
    <r>
      <t>Total Ponderación</t>
    </r>
    <r>
      <rPr>
        <sz val="11"/>
        <color theme="1"/>
        <rFont val="Calibri"/>
        <family val="2"/>
        <charset val="1"/>
      </rPr>
      <t>: suma de pesos (B3:B8), debe dar 100% — ya cuadra.</t>
    </r>
  </si>
  <si>
    <r>
      <t>% Cumplimiento Ponderado</t>
    </r>
    <r>
      <rPr>
        <sz val="11"/>
        <color theme="1"/>
        <rFont val="Calibri"/>
        <family val="2"/>
        <charset val="1"/>
      </rPr>
      <t xml:space="preserve">: </t>
    </r>
    <r>
      <rPr>
        <sz val="10"/>
        <color theme="1"/>
        <rFont val="Arial Unicode MS"/>
      </rPr>
      <t>SUMPRODUCT</t>
    </r>
    <r>
      <rPr>
        <sz val="11"/>
        <color theme="1"/>
        <rFont val="Calibri"/>
        <family val="2"/>
        <charset val="1"/>
      </rPr>
      <t xml:space="preserve"> de peso × %cumpl de cada KPI → el score final de cada vendedor.</t>
    </r>
  </si>
  <si>
    <r>
      <t>Objetivo Mínimo para recibir bono (%)</t>
    </r>
    <r>
      <rPr>
        <sz val="11"/>
        <color theme="1"/>
        <rFont val="Calibri"/>
        <family val="2"/>
        <charset val="1"/>
      </rPr>
      <t>: dejé 70% por default (amarillo, ajústalo).</t>
    </r>
  </si>
  <si>
    <r>
      <t>Bono Objetivo ($)</t>
    </r>
    <r>
      <rPr>
        <sz val="11"/>
        <color theme="1"/>
        <rFont val="Calibri"/>
        <family val="2"/>
        <charset val="1"/>
      </rPr>
      <t>: en amarillo, vacío — captúralo tú por persona.</t>
    </r>
  </si>
  <si>
    <r>
      <t>BONO A PAGAR ($)</t>
    </r>
    <r>
      <rPr>
        <sz val="11"/>
        <color theme="1"/>
        <rFont val="Calibri"/>
        <family val="2"/>
        <charset val="1"/>
      </rPr>
      <t>: si el % ponderado ≥ objetivo mínimo, paga Bono Objetivo × % cumplido; si no, $0.</t>
    </r>
  </si>
  <si>
    <t xml:space="preserve">Nota: </t>
  </si>
  <si>
    <t>TOTAL BONO</t>
  </si>
  <si>
    <t>BONO A PAGAR  x PROCESOS ($) 50%</t>
  </si>
  <si>
    <t>BONO A PAGAR x VENTA 50%</t>
  </si>
  <si>
    <t>Total Ponderacion 50%</t>
  </si>
  <si>
    <t>Meta Ponderacion 50%)</t>
  </si>
  <si>
    <t>Total Ponderacion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</si>
</sst>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\$* #,##0.00_);_(\$* \(#,##0.00\);_(\$* \-??_);_(@_)"/>
    <numFmt numFmtId="165" formatCode="m/d/yyyy"/>
    <numFmt numFmtId="166" formatCode="_-\$* #,##0_-;&quot;-$&quot;* #,##0_-;_-\$* \-??_-;_-@_-"/>
    <numFmt numFmtId="167" formatCode="_-\$* #,##0.00_-;&quot;-$&quot;* #,##0.00_-;_-\$* \-??_-;_-@_-"/>
    <numFmt numFmtId="168" formatCode="0.0%"/>
    <numFmt numFmtId="169" formatCode="\$#,##0"/>
    <numFmt numFmtId="170" formatCode="_-\$* #,##0_-;&quot;-$&quot;* #,##0_-;_-\$* \-_-;_-@_-"/>
    <numFmt numFmtId="171" formatCode="_-* #,##0_-;\-* #,##0_-;_-* \-??_-;_-@_-"/>
    <numFmt numFmtId="172" formatCode="m/d/yyyy\ h:mm"/>
  </numFmts>
  <fonts count="36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Lato"/>
      <family val="2"/>
      <charset val="1"/>
    </font>
    <font>
      <b/>
      <sz val="20"/>
      <color theme="1"/>
      <name val="Lato"/>
      <family val="2"/>
      <charset val="1"/>
    </font>
    <font>
      <b/>
      <sz val="16"/>
      <color theme="1"/>
      <name val="Lato"/>
      <family val="2"/>
      <charset val="1"/>
    </font>
    <font>
      <b/>
      <sz val="11"/>
      <color theme="1"/>
      <name val="Lato"/>
      <family val="2"/>
      <charset val="1"/>
    </font>
    <font>
      <b/>
      <sz val="11"/>
      <color theme="0"/>
      <name val="Lato"/>
      <family val="2"/>
      <charset val="1"/>
    </font>
    <font>
      <b/>
      <sz val="14"/>
      <color theme="1"/>
      <name val="Lato"/>
      <family val="2"/>
      <charset val="1"/>
    </font>
    <font>
      <sz val="11"/>
      <color rgb="FF9C0006"/>
      <name val="Calibri"/>
      <family val="2"/>
      <charset val="1"/>
    </font>
    <font>
      <sz val="11"/>
      <color theme="1"/>
      <name val="Sansation"/>
      <charset val="1"/>
    </font>
    <font>
      <b/>
      <sz val="11"/>
      <color theme="1"/>
      <name val="Sansation"/>
      <charset val="1"/>
    </font>
    <font>
      <sz val="11"/>
      <name val="Sansation"/>
      <charset val="1"/>
    </font>
    <font>
      <sz val="9"/>
      <color rgb="FF000000"/>
      <name val="Sansation"/>
      <charset val="1"/>
    </font>
    <font>
      <sz val="9"/>
      <color theme="1"/>
      <name val="Sansation"/>
      <charset val="1"/>
    </font>
    <font>
      <b/>
      <sz val="11"/>
      <name val="Sansation"/>
      <charset val="1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9"/>
      <color rgb="FF808080"/>
      <name val="Calibri"/>
      <family val="2"/>
    </font>
    <font>
      <b/>
      <sz val="8"/>
      <color theme="1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1"/>
      <name val="Wingdings 2"/>
      <family val="1"/>
      <charset val="2"/>
    </font>
    <font>
      <sz val="11"/>
      <color theme="1"/>
      <name val="Calibri"/>
      <family val="2"/>
      <charset val="1"/>
    </font>
    <font>
      <sz val="10"/>
      <color theme="1"/>
      <name val="Arial Unicode MS"/>
    </font>
    <font>
      <b/>
      <sz val="10"/>
      <color rgb="FFFFFFFF"/>
      <name val="Calibri"/>
      <family val="2"/>
    </font>
    <font>
      <i/>
      <sz val="9"/>
      <color rgb="FF80808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theme="3" tint="-0.499984740745262"/>
        <bgColor rgb="FF203864"/>
      </patternFill>
    </fill>
    <fill>
      <patternFill patternType="solid">
        <fgColor theme="0" tint="-0.34998626667073579"/>
        <bgColor rgb="FF8FAADC"/>
      </patternFill>
    </fill>
    <fill>
      <patternFill patternType="solid">
        <fgColor rgb="FFFFC000"/>
        <bgColor rgb="FFF4B183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C000"/>
      </patternFill>
    </fill>
    <fill>
      <patternFill patternType="solid">
        <fgColor theme="4" tint="-0.499984740745262"/>
        <bgColor rgb="FF1F4E78"/>
      </patternFill>
    </fill>
    <fill>
      <patternFill patternType="solid">
        <fgColor theme="9" tint="-0.249977111117893"/>
        <bgColor rgb="FF808080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5" tint="0.39988402966399123"/>
        <bgColor rgb="FFFFC7CE"/>
      </patternFill>
    </fill>
    <fill>
      <patternFill patternType="solid">
        <fgColor theme="7" tint="0.59987182226020086"/>
        <bgColor rgb="FFFFEB9C"/>
      </patternFill>
    </fill>
    <fill>
      <patternFill patternType="solid">
        <fgColor rgb="FF1F4E78"/>
        <bgColor rgb="FF203864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D9E1F2"/>
        <bgColor rgb="FFDAE3F3"/>
      </patternFill>
    </fill>
    <fill>
      <patternFill patternType="solid">
        <fgColor rgb="FFE2EFDA"/>
        <bgColor rgb="FFDAE3F3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4"/>
        <bgColor rgb="FF666699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9D9D9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88402966399123"/>
      </bottom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1">
    <xf numFmtId="0" fontId="0" fillId="0" borderId="0"/>
    <xf numFmtId="164" fontId="32" fillId="0" borderId="0"/>
    <xf numFmtId="164" fontId="32" fillId="0" borderId="0"/>
    <xf numFmtId="164" fontId="32" fillId="0" borderId="0"/>
    <xf numFmtId="164" fontId="32" fillId="0" borderId="0"/>
    <xf numFmtId="164" fontId="3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6" fillId="2" borderId="0"/>
  </cellStyleXfs>
  <cellXfs count="341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165" fontId="0" fillId="0" borderId="0" xfId="0" applyNumberFormat="1" applyAlignment="1"/>
    <xf numFmtId="17" fontId="6" fillId="5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17" fontId="6" fillId="3" borderId="3" xfId="0" applyNumberFormat="1" applyFont="1" applyFill="1" applyBorder="1" applyAlignment="1">
      <alignment horizontal="center" wrapText="1"/>
    </xf>
    <xf numFmtId="17" fontId="6" fillId="6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6" fontId="0" fillId="0" borderId="2" xfId="0" applyNumberFormat="1" applyBorder="1" applyAlignment="1"/>
    <xf numFmtId="0" fontId="0" fillId="0" borderId="0" xfId="0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7" fontId="6" fillId="3" borderId="6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9" fontId="0" fillId="0" borderId="5" xfId="0" applyNumberFormat="1" applyBorder="1" applyAlignment="1">
      <alignment horizontal="center"/>
    </xf>
    <xf numFmtId="167" fontId="0" fillId="0" borderId="2" xfId="0" applyNumberFormat="1" applyBorder="1" applyAlignment="1"/>
    <xf numFmtId="167" fontId="0" fillId="0" borderId="0" xfId="0" applyNumberFormat="1" applyAlignment="1"/>
    <xf numFmtId="166" fontId="0" fillId="0" borderId="2" xfId="0" applyNumberFormat="1" applyBorder="1" applyAlignment="1">
      <alignment vertical="center"/>
    </xf>
    <xf numFmtId="168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167" fontId="0" fillId="0" borderId="0" xfId="0" applyNumberFormat="1" applyAlignment="1">
      <alignment vertical="center" wrapText="1"/>
    </xf>
    <xf numFmtId="0" fontId="6" fillId="6" borderId="2" xfId="0" applyFont="1" applyFill="1" applyBorder="1" applyAlignment="1"/>
    <xf numFmtId="9" fontId="6" fillId="6" borderId="2" xfId="0" applyNumberFormat="1" applyFont="1" applyFill="1" applyBorder="1" applyAlignment="1">
      <alignment horizontal="center" vertical="center"/>
    </xf>
    <xf numFmtId="167" fontId="6" fillId="7" borderId="7" xfId="0" applyNumberFormat="1" applyFont="1" applyFill="1" applyBorder="1" applyAlignment="1">
      <alignment vertical="center"/>
    </xf>
    <xf numFmtId="167" fontId="6" fillId="0" borderId="0" xfId="0" applyNumberFormat="1" applyFont="1" applyAlignment="1"/>
    <xf numFmtId="0" fontId="6" fillId="0" borderId="0" xfId="0" applyFont="1" applyAlignment="1">
      <alignment horizontal="center" vertical="center" wrapText="1"/>
    </xf>
    <xf numFmtId="167" fontId="6" fillId="0" borderId="2" xfId="0" applyNumberFormat="1" applyFont="1" applyBorder="1" applyAlignmen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6" fillId="8" borderId="8" xfId="0" applyFont="1" applyFill="1" applyBorder="1" applyAlignment="1"/>
    <xf numFmtId="167" fontId="6" fillId="8" borderId="9" xfId="0" applyNumberFormat="1" applyFont="1" applyFill="1" applyBorder="1" applyAlignment="1"/>
    <xf numFmtId="0" fontId="6" fillId="0" borderId="0" xfId="0" applyFont="1" applyAlignment="1"/>
    <xf numFmtId="166" fontId="0" fillId="0" borderId="2" xfId="0" applyNumberFormat="1" applyBorder="1" applyAlignment="1">
      <alignment horizontal="center" vertical="center"/>
    </xf>
    <xf numFmtId="0" fontId="0" fillId="0" borderId="3" xfId="0" applyFont="1" applyBorder="1" applyAlignment="1">
      <alignment horizontal="left" wrapText="1"/>
    </xf>
    <xf numFmtId="9" fontId="0" fillId="0" borderId="10" xfId="0" applyNumberFormat="1" applyBorder="1" applyAlignment="1">
      <alignment horizontal="center" vertical="center"/>
    </xf>
    <xf numFmtId="167" fontId="0" fillId="0" borderId="3" xfId="0" applyNumberFormat="1" applyBorder="1" applyAlignment="1">
      <alignment vertical="center"/>
    </xf>
    <xf numFmtId="9" fontId="0" fillId="0" borderId="2" xfId="0" applyNumberFormat="1" applyBorder="1" applyAlignment="1">
      <alignment horizontal="center" vertical="center"/>
    </xf>
    <xf numFmtId="167" fontId="0" fillId="0" borderId="7" xfId="0" applyNumberFormat="1" applyBorder="1" applyAlignment="1">
      <alignment vertical="center"/>
    </xf>
    <xf numFmtId="9" fontId="0" fillId="7" borderId="2" xfId="0" applyNumberFormat="1" applyFill="1" applyBorder="1" applyAlignment="1">
      <alignment horizontal="center" vertical="center"/>
    </xf>
    <xf numFmtId="167" fontId="6" fillId="7" borderId="2" xfId="0" applyNumberFormat="1" applyFont="1" applyFill="1" applyBorder="1" applyAlignment="1">
      <alignment vertical="center"/>
    </xf>
    <xf numFmtId="9" fontId="0" fillId="0" borderId="0" xfId="0" applyNumberFormat="1" applyAlignment="1">
      <alignment horizontal="center"/>
    </xf>
    <xf numFmtId="0" fontId="6" fillId="7" borderId="0" xfId="0" applyFont="1" applyFill="1" applyAlignment="1"/>
    <xf numFmtId="9" fontId="0" fillId="7" borderId="0" xfId="0" applyNumberFormat="1" applyFill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7" borderId="11" xfId="0" applyFont="1" applyFill="1" applyBorder="1" applyAlignment="1"/>
    <xf numFmtId="167" fontId="6" fillId="7" borderId="12" xfId="0" applyNumberFormat="1" applyFont="1" applyFill="1" applyBorder="1" applyAlignment="1"/>
    <xf numFmtId="0" fontId="0" fillId="0" borderId="2" xfId="0" applyFont="1" applyBorder="1" applyAlignment="1"/>
    <xf numFmtId="0" fontId="6" fillId="8" borderId="2" xfId="0" applyFont="1" applyFill="1" applyBorder="1" applyAlignment="1"/>
    <xf numFmtId="167" fontId="6" fillId="8" borderId="2" xfId="0" applyNumberFormat="1" applyFont="1" applyFill="1" applyBorder="1" applyAlignment="1"/>
    <xf numFmtId="9" fontId="0" fillId="0" borderId="5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9" fontId="0" fillId="0" borderId="0" xfId="0" applyNumberFormat="1" applyAlignment="1">
      <alignment horizontal="center" vertical="center"/>
    </xf>
    <xf numFmtId="0" fontId="6" fillId="8" borderId="11" xfId="0" applyFont="1" applyFill="1" applyBorder="1" applyAlignment="1"/>
    <xf numFmtId="167" fontId="6" fillId="8" borderId="12" xfId="0" applyNumberFormat="1" applyFont="1" applyFill="1" applyBorder="1" applyAlignment="1"/>
    <xf numFmtId="0" fontId="6" fillId="8" borderId="0" xfId="0" applyFont="1" applyFill="1" applyAlignment="1"/>
    <xf numFmtId="0" fontId="5" fillId="9" borderId="13" xfId="0" applyFont="1" applyFill="1" applyBorder="1" applyAlignment="1"/>
    <xf numFmtId="0" fontId="5" fillId="9" borderId="14" xfId="0" applyFont="1" applyFill="1" applyBorder="1" applyAlignment="1"/>
    <xf numFmtId="0" fontId="5" fillId="9" borderId="13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5" fillId="9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left" vertical="center"/>
    </xf>
    <xf numFmtId="49" fontId="8" fillId="3" borderId="10" xfId="0" applyNumberFormat="1" applyFont="1" applyFill="1" applyBorder="1" applyAlignment="1">
      <alignment horizontal="left" vertical="center"/>
    </xf>
    <xf numFmtId="169" fontId="9" fillId="3" borderId="18" xfId="0" applyNumberFormat="1" applyFont="1" applyFill="1" applyBorder="1" applyAlignment="1">
      <alignment horizontal="center" vertical="center"/>
    </xf>
    <xf numFmtId="169" fontId="9" fillId="0" borderId="18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9" fontId="9" fillId="0" borderId="19" xfId="0" applyNumberFormat="1" applyFont="1" applyBorder="1" applyAlignment="1">
      <alignment horizontal="right" vertical="center"/>
    </xf>
    <xf numFmtId="3" fontId="8" fillId="3" borderId="2" xfId="0" applyNumberFormat="1" applyFont="1" applyFill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9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center"/>
    </xf>
    <xf numFmtId="0" fontId="5" fillId="9" borderId="15" xfId="0" applyFont="1" applyFill="1" applyBorder="1" applyAlignment="1"/>
    <xf numFmtId="0" fontId="5" fillId="9" borderId="16" xfId="0" applyFont="1" applyFill="1" applyBorder="1" applyAlignment="1"/>
    <xf numFmtId="0" fontId="6" fillId="3" borderId="20" xfId="0" applyFont="1" applyFill="1" applyBorder="1" applyAlignment="1">
      <alignment horizontal="center" wrapText="1"/>
    </xf>
    <xf numFmtId="0" fontId="6" fillId="6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center" vertical="center"/>
    </xf>
    <xf numFmtId="3" fontId="6" fillId="0" borderId="0" xfId="0" applyNumberFormat="1" applyFont="1" applyAlignment="1"/>
    <xf numFmtId="9" fontId="6" fillId="0" borderId="0" xfId="0" applyNumberFormat="1" applyFont="1" applyAlignment="1"/>
    <xf numFmtId="166" fontId="6" fillId="0" borderId="0" xfId="0" applyNumberFormat="1" applyFont="1" applyAlignment="1"/>
    <xf numFmtId="9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3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right" vertical="center"/>
    </xf>
    <xf numFmtId="170" fontId="0" fillId="0" borderId="28" xfId="0" applyNumberFormat="1" applyBorder="1" applyAlignment="1">
      <alignment horizontal="center" vertical="center"/>
    </xf>
    <xf numFmtId="170" fontId="0" fillId="0" borderId="26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right" vertical="center"/>
    </xf>
    <xf numFmtId="0" fontId="0" fillId="3" borderId="30" xfId="0" applyFont="1" applyFill="1" applyBorder="1" applyAlignment="1"/>
    <xf numFmtId="0" fontId="0" fillId="3" borderId="31" xfId="0" applyFont="1" applyFill="1" applyBorder="1" applyAlignment="1"/>
    <xf numFmtId="0" fontId="0" fillId="3" borderId="32" xfId="0" applyFont="1" applyFill="1" applyBorder="1" applyAlignment="1"/>
    <xf numFmtId="0" fontId="0" fillId="3" borderId="33" xfId="0" applyFont="1" applyFill="1" applyBorder="1" applyAlignment="1"/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/>
    <xf numFmtId="17" fontId="13" fillId="3" borderId="3" xfId="0" applyNumberFormat="1" applyFont="1" applyFill="1" applyBorder="1" applyAlignment="1">
      <alignment horizontal="center" wrapText="1"/>
    </xf>
    <xf numFmtId="17" fontId="13" fillId="6" borderId="3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9" borderId="2" xfId="0" applyFont="1" applyFill="1" applyBorder="1" applyAlignment="1"/>
    <xf numFmtId="3" fontId="10" fillId="0" borderId="2" xfId="0" applyNumberFormat="1" applyFont="1" applyBorder="1" applyAlignment="1">
      <alignment horizontal="right"/>
    </xf>
    <xf numFmtId="9" fontId="10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right"/>
    </xf>
    <xf numFmtId="9" fontId="10" fillId="0" borderId="0" xfId="0" applyNumberFormat="1" applyFont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wrapText="1"/>
    </xf>
    <xf numFmtId="167" fontId="13" fillId="11" borderId="2" xfId="0" applyNumberFormat="1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167" fontId="10" fillId="0" borderId="2" xfId="0" applyNumberFormat="1" applyFont="1" applyBorder="1" applyAlignment="1"/>
    <xf numFmtId="9" fontId="10" fillId="12" borderId="2" xfId="0" applyNumberFormat="1" applyFont="1" applyFill="1" applyBorder="1" applyAlignment="1">
      <alignment horizontal="center" vertical="center" wrapText="1"/>
    </xf>
    <xf numFmtId="166" fontId="10" fillId="0" borderId="2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167" fontId="10" fillId="0" borderId="0" xfId="0" applyNumberFormat="1" applyFont="1" applyAlignment="1">
      <alignment vertical="center" wrapText="1"/>
    </xf>
    <xf numFmtId="0" fontId="13" fillId="6" borderId="7" xfId="0" applyFont="1" applyFill="1" applyBorder="1" applyAlignment="1"/>
    <xf numFmtId="9" fontId="13" fillId="6" borderId="2" xfId="0" applyNumberFormat="1" applyFont="1" applyFill="1" applyBorder="1" applyAlignment="1">
      <alignment horizontal="center" vertical="center"/>
    </xf>
    <xf numFmtId="167" fontId="13" fillId="7" borderId="7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167" fontId="13" fillId="0" borderId="2" xfId="0" applyNumberFormat="1" applyFont="1" applyBorder="1" applyAlignment="1"/>
    <xf numFmtId="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7" fontId="10" fillId="0" borderId="0" xfId="0" applyNumberFormat="1" applyFont="1" applyAlignment="1"/>
    <xf numFmtId="0" fontId="13" fillId="8" borderId="8" xfId="0" applyFont="1" applyFill="1" applyBorder="1" applyAlignment="1"/>
    <xf numFmtId="167" fontId="15" fillId="8" borderId="9" xfId="0" applyNumberFormat="1" applyFont="1" applyFill="1" applyBorder="1" applyAlignment="1"/>
    <xf numFmtId="167" fontId="13" fillId="0" borderId="0" xfId="0" applyNumberFormat="1" applyFont="1" applyAlignment="1"/>
    <xf numFmtId="0" fontId="13" fillId="0" borderId="0" xfId="0" applyFont="1" applyAlignment="1"/>
    <xf numFmtId="166" fontId="10" fillId="0" borderId="2" xfId="0" applyNumberFormat="1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vertical="center"/>
    </xf>
    <xf numFmtId="9" fontId="10" fillId="12" borderId="2" xfId="0" applyNumberFormat="1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167" fontId="13" fillId="7" borderId="2" xfId="0" applyNumberFormat="1" applyFont="1" applyFill="1" applyBorder="1" applyAlignment="1">
      <alignment vertical="center"/>
    </xf>
    <xf numFmtId="3" fontId="10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/>
    <xf numFmtId="9" fontId="10" fillId="0" borderId="5" xfId="0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 wrapText="1"/>
    </xf>
    <xf numFmtId="17" fontId="13" fillId="5" borderId="2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/>
    </xf>
    <xf numFmtId="9" fontId="10" fillId="7" borderId="2" xfId="0" applyNumberFormat="1" applyFont="1" applyFill="1" applyBorder="1" applyAlignment="1">
      <alignment horizontal="center" vertical="center"/>
    </xf>
    <xf numFmtId="0" fontId="0" fillId="13" borderId="13" xfId="0" applyFont="1" applyFill="1" applyBorder="1" applyAlignment="1"/>
    <xf numFmtId="171" fontId="0" fillId="13" borderId="16" xfId="10" applyNumberFormat="1" applyFont="1" applyFill="1" applyBorder="1" applyAlignment="1"/>
    <xf numFmtId="0" fontId="0" fillId="13" borderId="18" xfId="0" applyFont="1" applyFill="1" applyBorder="1" applyAlignment="1"/>
    <xf numFmtId="171" fontId="0" fillId="13" borderId="19" xfId="10" applyNumberFormat="1" applyFont="1" applyFill="1" applyBorder="1" applyAlignment="1"/>
    <xf numFmtId="0" fontId="0" fillId="14" borderId="35" xfId="0" applyFont="1" applyFill="1" applyBorder="1" applyAlignment="1"/>
    <xf numFmtId="171" fontId="0" fillId="14" borderId="36" xfId="10" applyNumberFormat="1" applyFont="1" applyFill="1" applyBorder="1" applyAlignme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vertical="center"/>
    </xf>
    <xf numFmtId="0" fontId="18" fillId="0" borderId="0" xfId="0" applyFont="1" applyAlignment="1"/>
    <xf numFmtId="166" fontId="18" fillId="15" borderId="2" xfId="0" applyNumberFormat="1" applyFont="1" applyFill="1" applyBorder="1" applyAlignment="1"/>
    <xf numFmtId="167" fontId="17" fillId="0" borderId="0" xfId="0" applyNumberFormat="1" applyFont="1" applyAlignment="1">
      <alignment vertical="center"/>
    </xf>
    <xf numFmtId="9" fontId="1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0" borderId="0" xfId="0" applyFont="1" applyAlignment="1">
      <alignment vertical="top"/>
    </xf>
    <xf numFmtId="166" fontId="18" fillId="15" borderId="2" xfId="0" applyNumberFormat="1" applyFont="1" applyFill="1" applyBorder="1" applyAlignment="1">
      <alignment vertical="top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0" borderId="38" xfId="0" applyFont="1" applyBorder="1" applyAlignment="1">
      <alignment vertical="center"/>
    </xf>
    <xf numFmtId="0" fontId="17" fillId="7" borderId="39" xfId="0" applyFont="1" applyFill="1" applyBorder="1" applyAlignment="1">
      <alignment horizontal="center" vertical="center"/>
    </xf>
    <xf numFmtId="0" fontId="17" fillId="7" borderId="39" xfId="0" applyFont="1" applyFill="1" applyBorder="1" applyAlignment="1">
      <alignment vertical="center"/>
    </xf>
    <xf numFmtId="0" fontId="18" fillId="7" borderId="39" xfId="0" applyFont="1" applyFill="1" applyBorder="1" applyAlignment="1">
      <alignment vertical="center"/>
    </xf>
    <xf numFmtId="0" fontId="17" fillId="7" borderId="40" xfId="0" applyFont="1" applyFill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8" fillId="7" borderId="0" xfId="0" applyFont="1" applyFill="1" applyAlignment="1">
      <alignment horizontal="center" vertical="center" textRotation="90"/>
    </xf>
    <xf numFmtId="0" fontId="17" fillId="7" borderId="0" xfId="0" applyFont="1" applyFill="1" applyAlignment="1">
      <alignment vertical="center"/>
    </xf>
    <xf numFmtId="9" fontId="18" fillId="15" borderId="2" xfId="0" applyNumberFormat="1" applyFont="1" applyFill="1" applyBorder="1" applyAlignment="1">
      <alignment horizontal="center" vertical="center"/>
    </xf>
    <xf numFmtId="0" fontId="17" fillId="0" borderId="26" xfId="0" applyFont="1" applyBorder="1" applyAlignment="1">
      <alignment vertical="center"/>
    </xf>
    <xf numFmtId="166" fontId="19" fillId="15" borderId="26" xfId="0" applyNumberFormat="1" applyFont="1" applyFill="1" applyBorder="1" applyAlignment="1">
      <alignment vertical="center"/>
    </xf>
    <xf numFmtId="166" fontId="19" fillId="0" borderId="26" xfId="0" applyNumberFormat="1" applyFont="1" applyBorder="1" applyAlignment="1">
      <alignment vertical="center"/>
    </xf>
    <xf numFmtId="0" fontId="17" fillId="7" borderId="43" xfId="0" applyFont="1" applyFill="1" applyBorder="1" applyAlignment="1">
      <alignment vertical="center"/>
    </xf>
    <xf numFmtId="9" fontId="17" fillId="0" borderId="0" xfId="0" applyNumberFormat="1" applyFont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166" fontId="18" fillId="7" borderId="2" xfId="0" applyNumberFormat="1" applyFont="1" applyFill="1" applyBorder="1" applyAlignment="1">
      <alignment vertical="center"/>
    </xf>
    <xf numFmtId="9" fontId="19" fillId="0" borderId="26" xfId="0" applyNumberFormat="1" applyFont="1" applyBorder="1" applyAlignment="1">
      <alignment horizontal="center" vertical="center"/>
    </xf>
    <xf numFmtId="0" fontId="18" fillId="7" borderId="0" xfId="0" applyFont="1" applyFill="1" applyAlignment="1">
      <alignment vertical="center"/>
    </xf>
    <xf numFmtId="166" fontId="19" fillId="0" borderId="26" xfId="0" applyNumberFormat="1" applyFont="1" applyBorder="1" applyAlignment="1">
      <alignment horizontal="center" vertical="center"/>
    </xf>
    <xf numFmtId="166" fontId="18" fillId="7" borderId="0" xfId="0" applyNumberFormat="1" applyFont="1" applyFill="1" applyAlignment="1">
      <alignment vertical="center"/>
    </xf>
    <xf numFmtId="166" fontId="17" fillId="0" borderId="26" xfId="0" applyNumberFormat="1" applyFont="1" applyBorder="1" applyAlignment="1">
      <alignment horizontal="center" vertical="center"/>
    </xf>
    <xf numFmtId="0" fontId="17" fillId="0" borderId="44" xfId="0" applyFont="1" applyBorder="1" applyAlignment="1">
      <alignment vertical="center"/>
    </xf>
    <xf numFmtId="166" fontId="17" fillId="0" borderId="44" xfId="0" applyNumberFormat="1" applyFont="1" applyBorder="1" applyAlignment="1">
      <alignment vertical="center"/>
    </xf>
    <xf numFmtId="0" fontId="18" fillId="0" borderId="45" xfId="0" applyFont="1" applyBorder="1" applyAlignment="1">
      <alignment vertical="center"/>
    </xf>
    <xf numFmtId="166" fontId="17" fillId="0" borderId="46" xfId="0" applyNumberFormat="1" applyFont="1" applyBorder="1" applyAlignment="1">
      <alignment vertical="center"/>
    </xf>
    <xf numFmtId="166" fontId="17" fillId="0" borderId="47" xfId="0" applyNumberFormat="1" applyFont="1" applyBorder="1" applyAlignment="1">
      <alignment vertical="center"/>
    </xf>
    <xf numFmtId="166" fontId="18" fillId="0" borderId="42" xfId="0" applyNumberFormat="1" applyFont="1" applyBorder="1" applyAlignment="1">
      <alignment vertical="center"/>
    </xf>
    <xf numFmtId="0" fontId="18" fillId="14" borderId="45" xfId="0" applyFont="1" applyFill="1" applyBorder="1" applyAlignment="1">
      <alignment vertical="center"/>
    </xf>
    <xf numFmtId="166" fontId="17" fillId="14" borderId="46" xfId="0" applyNumberFormat="1" applyFont="1" applyFill="1" applyBorder="1" applyAlignment="1">
      <alignment horizontal="center" vertical="center"/>
    </xf>
    <xf numFmtId="166" fontId="17" fillId="14" borderId="47" xfId="0" applyNumberFormat="1" applyFont="1" applyFill="1" applyBorder="1" applyAlignment="1">
      <alignment horizontal="center" vertical="center"/>
    </xf>
    <xf numFmtId="166" fontId="18" fillId="14" borderId="42" xfId="0" applyNumberFormat="1" applyFont="1" applyFill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17" fillId="7" borderId="49" xfId="0" applyFont="1" applyFill="1" applyBorder="1" applyAlignment="1">
      <alignment horizontal="center" vertical="center" textRotation="90"/>
    </xf>
    <xf numFmtId="0" fontId="17" fillId="7" borderId="49" xfId="0" applyFont="1" applyFill="1" applyBorder="1" applyAlignment="1">
      <alignment vertical="center"/>
    </xf>
    <xf numFmtId="0" fontId="18" fillId="7" borderId="49" xfId="0" applyFont="1" applyFill="1" applyBorder="1" applyAlignment="1">
      <alignment vertical="center"/>
    </xf>
    <xf numFmtId="0" fontId="17" fillId="0" borderId="49" xfId="0" applyFont="1" applyBorder="1" applyAlignment="1">
      <alignment vertical="center"/>
    </xf>
    <xf numFmtId="166" fontId="17" fillId="7" borderId="49" xfId="0" applyNumberFormat="1" applyFont="1" applyFill="1" applyBorder="1" applyAlignment="1">
      <alignment horizontal="center" vertical="center"/>
    </xf>
    <xf numFmtId="166" fontId="17" fillId="7" borderId="49" xfId="0" applyNumberFormat="1" applyFont="1" applyFill="1" applyBorder="1" applyAlignment="1">
      <alignment vertical="center"/>
    </xf>
    <xf numFmtId="0" fontId="17" fillId="7" borderId="50" xfId="0" applyFont="1" applyFill="1" applyBorder="1" applyAlignment="1">
      <alignment vertical="center"/>
    </xf>
    <xf numFmtId="0" fontId="17" fillId="7" borderId="0" xfId="0" applyFont="1" applyFill="1" applyAlignment="1">
      <alignment horizontal="center" vertical="center" textRotation="90"/>
    </xf>
    <xf numFmtId="0" fontId="17" fillId="7" borderId="39" xfId="0" applyFont="1" applyFill="1" applyBorder="1" applyAlignment="1">
      <alignment horizontal="center" vertical="center" textRotation="90"/>
    </xf>
    <xf numFmtId="1" fontId="17" fillId="0" borderId="26" xfId="0" applyNumberFormat="1" applyFont="1" applyBorder="1" applyAlignment="1">
      <alignment vertical="center"/>
    </xf>
    <xf numFmtId="1" fontId="17" fillId="15" borderId="26" xfId="0" applyNumberFormat="1" applyFont="1" applyFill="1" applyBorder="1" applyAlignment="1">
      <alignment horizontal="center" vertical="center"/>
    </xf>
    <xf numFmtId="1" fontId="17" fillId="0" borderId="51" xfId="0" applyNumberFormat="1" applyFont="1" applyBorder="1" applyAlignment="1">
      <alignment vertical="center"/>
    </xf>
    <xf numFmtId="1" fontId="17" fillId="0" borderId="26" xfId="0" applyNumberFormat="1" applyFont="1" applyBorder="1" applyAlignment="1">
      <alignment horizontal="center" vertical="center"/>
    </xf>
    <xf numFmtId="0" fontId="17" fillId="0" borderId="43" xfId="0" applyFont="1" applyBorder="1" applyAlignment="1">
      <alignment vertical="center"/>
    </xf>
    <xf numFmtId="0" fontId="20" fillId="7" borderId="0" xfId="0" applyFont="1" applyFill="1" applyAlignment="1">
      <alignment vertical="center"/>
    </xf>
    <xf numFmtId="9" fontId="17" fillId="0" borderId="26" xfId="0" applyNumberFormat="1" applyFont="1" applyBorder="1" applyAlignment="1">
      <alignment horizontal="center" vertical="center"/>
    </xf>
    <xf numFmtId="0" fontId="21" fillId="7" borderId="0" xfId="0" applyFont="1" applyFill="1" applyAlignment="1">
      <alignment vertical="center"/>
    </xf>
    <xf numFmtId="0" fontId="17" fillId="3" borderId="26" xfId="0" applyFont="1" applyFill="1" applyBorder="1" applyAlignment="1">
      <alignment vertical="center"/>
    </xf>
    <xf numFmtId="167" fontId="17" fillId="3" borderId="26" xfId="0" applyNumberFormat="1" applyFont="1" applyFill="1" applyBorder="1" applyAlignment="1">
      <alignment horizontal="center" vertical="center"/>
    </xf>
    <xf numFmtId="166" fontId="17" fillId="3" borderId="2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7" fontId="18" fillId="0" borderId="0" xfId="0" applyNumberFormat="1" applyFont="1" applyAlignment="1">
      <alignment vertical="center"/>
    </xf>
    <xf numFmtId="0" fontId="17" fillId="7" borderId="41" xfId="0" applyFont="1" applyFill="1" applyBorder="1" applyAlignment="1">
      <alignment vertical="center"/>
    </xf>
    <xf numFmtId="166" fontId="17" fillId="0" borderId="51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7" borderId="49" xfId="0" applyFont="1" applyFill="1" applyBorder="1" applyAlignment="1">
      <alignment horizontal="center" vertical="center"/>
    </xf>
    <xf numFmtId="0" fontId="18" fillId="0" borderId="49" xfId="0" applyFont="1" applyBorder="1" applyAlignment="1">
      <alignment vertical="center"/>
    </xf>
    <xf numFmtId="166" fontId="17" fillId="7" borderId="0" xfId="0" applyNumberFormat="1" applyFont="1" applyFill="1" applyAlignment="1">
      <alignment horizontal="center" vertical="center"/>
    </xf>
    <xf numFmtId="166" fontId="17" fillId="7" borderId="0" xfId="0" applyNumberFormat="1" applyFont="1" applyFill="1" applyAlignment="1">
      <alignment vertical="center"/>
    </xf>
    <xf numFmtId="0" fontId="17" fillId="0" borderId="39" xfId="0" applyFont="1" applyBorder="1" applyAlignment="1">
      <alignment horizontal="center" vertical="center"/>
    </xf>
    <xf numFmtId="0" fontId="17" fillId="0" borderId="39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166" fontId="17" fillId="7" borderId="39" xfId="0" applyNumberFormat="1" applyFont="1" applyFill="1" applyBorder="1" applyAlignment="1">
      <alignment horizontal="center" vertical="center"/>
    </xf>
    <xf numFmtId="166" fontId="17" fillId="7" borderId="39" xfId="0" applyNumberFormat="1" applyFont="1" applyFill="1" applyBorder="1" applyAlignment="1">
      <alignment vertical="center"/>
    </xf>
    <xf numFmtId="0" fontId="18" fillId="5" borderId="45" xfId="0" applyFont="1" applyFill="1" applyBorder="1" applyAlignment="1">
      <alignment vertical="center"/>
    </xf>
    <xf numFmtId="166" fontId="22" fillId="5" borderId="46" xfId="0" applyNumberFormat="1" applyFont="1" applyFill="1" applyBorder="1" applyAlignment="1">
      <alignment vertical="center"/>
    </xf>
    <xf numFmtId="166" fontId="22" fillId="5" borderId="47" xfId="0" applyNumberFormat="1" applyFont="1" applyFill="1" applyBorder="1" applyAlignment="1">
      <alignment vertical="center"/>
    </xf>
    <xf numFmtId="166" fontId="22" fillId="5" borderId="42" xfId="0" applyNumberFormat="1" applyFont="1" applyFill="1" applyBorder="1" applyAlignment="1">
      <alignment vertical="center"/>
    </xf>
    <xf numFmtId="0" fontId="17" fillId="0" borderId="50" xfId="0" applyFont="1" applyBorder="1" applyAlignment="1">
      <alignment vertical="center"/>
    </xf>
    <xf numFmtId="166" fontId="17" fillId="0" borderId="0" xfId="0" applyNumberFormat="1" applyFont="1" applyAlignment="1">
      <alignment vertical="center"/>
    </xf>
    <xf numFmtId="0" fontId="23" fillId="16" borderId="52" xfId="0" applyFont="1" applyFill="1" applyBorder="1" applyAlignment="1">
      <alignment horizontal="left" vertical="center" wrapText="1"/>
    </xf>
    <xf numFmtId="0" fontId="23" fillId="16" borderId="52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left" vertical="center" wrapText="1"/>
    </xf>
    <xf numFmtId="168" fontId="24" fillId="0" borderId="52" xfId="0" applyNumberFormat="1" applyFont="1" applyBorder="1" applyAlignment="1">
      <alignment horizontal="center" vertical="center" wrapText="1"/>
    </xf>
    <xf numFmtId="3" fontId="24" fillId="12" borderId="52" xfId="0" applyNumberFormat="1" applyFont="1" applyFill="1" applyBorder="1" applyAlignment="1">
      <alignment horizontal="center" vertical="center" wrapText="1"/>
    </xf>
    <xf numFmtId="168" fontId="24" fillId="17" borderId="52" xfId="0" applyNumberFormat="1" applyFont="1" applyFill="1" applyBorder="1" applyAlignment="1">
      <alignment horizontal="center" vertical="center" wrapText="1"/>
    </xf>
    <xf numFmtId="0" fontId="25" fillId="18" borderId="52" xfId="0" applyFont="1" applyFill="1" applyBorder="1" applyAlignment="1">
      <alignment horizontal="left" vertical="center" wrapText="1"/>
    </xf>
    <xf numFmtId="168" fontId="25" fillId="18" borderId="52" xfId="0" applyNumberFormat="1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left" vertical="center" wrapText="1"/>
    </xf>
    <xf numFmtId="168" fontId="24" fillId="12" borderId="52" xfId="0" applyNumberFormat="1" applyFont="1" applyFill="1" applyBorder="1" applyAlignment="1">
      <alignment horizontal="center" vertical="center" wrapText="1"/>
    </xf>
    <xf numFmtId="169" fontId="24" fillId="12" borderId="52" xfId="0" applyNumberFormat="1" applyFont="1" applyFill="1" applyBorder="1" applyAlignment="1">
      <alignment horizontal="center" vertical="center" wrapText="1"/>
    </xf>
    <xf numFmtId="0" fontId="25" fillId="19" borderId="52" xfId="0" applyFont="1" applyFill="1" applyBorder="1" applyAlignment="1">
      <alignment horizontal="left" vertical="center" wrapText="1"/>
    </xf>
    <xf numFmtId="169" fontId="25" fillId="19" borderId="52" xfId="0" applyNumberFormat="1" applyFont="1" applyFill="1" applyBorder="1" applyAlignment="1">
      <alignment horizontal="center" vertical="center" wrapText="1"/>
    </xf>
    <xf numFmtId="172" fontId="27" fillId="0" borderId="0" xfId="0" applyNumberFormat="1" applyFont="1" applyAlignment="1"/>
    <xf numFmtId="9" fontId="0" fillId="0" borderId="0" xfId="0" applyNumberFormat="1" applyAlignment="1"/>
    <xf numFmtId="0" fontId="0" fillId="21" borderId="57" xfId="0" applyFill="1" applyBorder="1" applyAlignment="1">
      <alignment horizontal="center" vertical="center"/>
    </xf>
    <xf numFmtId="0" fontId="28" fillId="21" borderId="58" xfId="0" applyFont="1" applyFill="1" applyBorder="1" applyAlignment="1">
      <alignment vertical="center" wrapText="1"/>
    </xf>
    <xf numFmtId="0" fontId="28" fillId="21" borderId="58" xfId="0" applyFont="1" applyFill="1" applyBorder="1" applyAlignment="1">
      <alignment horizontal="center" vertical="center" wrapText="1"/>
    </xf>
    <xf numFmtId="0" fontId="29" fillId="21" borderId="58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16" fillId="2" borderId="59" xfId="0" applyFont="1" applyFill="1" applyBorder="1" applyAlignment="1"/>
    <xf numFmtId="165" fontId="16" fillId="2" borderId="59" xfId="0" applyNumberFormat="1" applyFont="1" applyFill="1" applyBorder="1" applyAlignment="1"/>
    <xf numFmtId="0" fontId="16" fillId="2" borderId="0" xfId="0" applyFont="1" applyFill="1" applyAlignment="1"/>
    <xf numFmtId="0" fontId="31" fillId="0" borderId="60" xfId="0" applyFont="1" applyBorder="1" applyAlignment="1">
      <alignment horizontal="center" vertical="center"/>
    </xf>
    <xf numFmtId="0" fontId="0" fillId="0" borderId="59" xfId="0" applyFont="1" applyBorder="1" applyAlignment="1"/>
    <xf numFmtId="165" fontId="0" fillId="0" borderId="59" xfId="0" applyNumberFormat="1" applyBorder="1" applyAlignment="1"/>
    <xf numFmtId="0" fontId="0" fillId="22" borderId="59" xfId="0" applyFill="1" applyBorder="1" applyAlignment="1"/>
    <xf numFmtId="0" fontId="31" fillId="0" borderId="5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8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3" fontId="24" fillId="12" borderId="54" xfId="0" applyNumberFormat="1" applyFont="1" applyFill="1" applyBorder="1" applyAlignment="1">
      <alignment horizontal="center" vertical="center" wrapText="1"/>
    </xf>
    <xf numFmtId="3" fontId="24" fillId="12" borderId="65" xfId="0" applyNumberFormat="1" applyFont="1" applyFill="1" applyBorder="1" applyAlignment="1">
      <alignment horizontal="center" vertical="center" wrapText="1"/>
    </xf>
    <xf numFmtId="168" fontId="24" fillId="23" borderId="52" xfId="0" applyNumberFormat="1" applyFont="1" applyFill="1" applyBorder="1" applyAlignment="1">
      <alignment horizontal="center" vertical="center" wrapText="1"/>
    </xf>
    <xf numFmtId="168" fontId="24" fillId="24" borderId="52" xfId="0" applyNumberFormat="1" applyFon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9" fontId="0" fillId="0" borderId="7" xfId="0" applyNumberFormat="1" applyBorder="1" applyAlignment="1">
      <alignment horizontal="center" vertical="center"/>
    </xf>
    <xf numFmtId="9" fontId="0" fillId="0" borderId="56" xfId="0" applyNumberFormat="1" applyBorder="1" applyAlignment="1">
      <alignment horizontal="center" vertical="center"/>
    </xf>
    <xf numFmtId="0" fontId="25" fillId="19" borderId="0" xfId="0" applyFont="1" applyFill="1" applyBorder="1" applyAlignment="1">
      <alignment horizontal="left" vertical="center" wrapText="1"/>
    </xf>
    <xf numFmtId="169" fontId="25" fillId="19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17" fontId="6" fillId="5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67" fontId="0" fillId="0" borderId="2" xfId="0" applyNumberForma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/>
    </xf>
    <xf numFmtId="16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0" fontId="12" fillId="3" borderId="1" xfId="0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wrapText="1"/>
    </xf>
    <xf numFmtId="0" fontId="10" fillId="0" borderId="3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textRotation="90"/>
    </xf>
    <xf numFmtId="0" fontId="18" fillId="14" borderId="42" xfId="0" applyFont="1" applyFill="1" applyBorder="1" applyAlignment="1">
      <alignment horizontal="center" vertical="center"/>
    </xf>
    <xf numFmtId="0" fontId="35" fillId="20" borderId="0" xfId="0" applyFont="1" applyFill="1" applyBorder="1" applyAlignment="1">
      <alignment horizontal="left" vertical="center" wrapText="1"/>
    </xf>
    <xf numFmtId="0" fontId="26" fillId="20" borderId="0" xfId="0" applyFont="1" applyFill="1" applyBorder="1" applyAlignment="1">
      <alignment horizontal="left" vertical="center" wrapText="1"/>
    </xf>
    <xf numFmtId="0" fontId="23" fillId="16" borderId="62" xfId="0" applyFont="1" applyFill="1" applyBorder="1" applyAlignment="1">
      <alignment horizontal="center" vertical="center" wrapText="1"/>
    </xf>
    <xf numFmtId="0" fontId="23" fillId="16" borderId="0" xfId="0" applyFont="1" applyFill="1" applyBorder="1" applyAlignment="1">
      <alignment horizontal="center" vertical="center" wrapText="1"/>
    </xf>
    <xf numFmtId="0" fontId="34" fillId="16" borderId="0" xfId="0" applyFont="1" applyFill="1" applyBorder="1" applyAlignment="1">
      <alignment horizontal="center" vertical="center" wrapText="1"/>
    </xf>
    <xf numFmtId="0" fontId="34" fillId="16" borderId="63" xfId="0" applyFont="1" applyFill="1" applyBorder="1" applyAlignment="1">
      <alignment horizontal="center" vertical="center" wrapText="1"/>
    </xf>
    <xf numFmtId="0" fontId="23" fillId="16" borderId="64" xfId="0" applyFont="1" applyFill="1" applyBorder="1" applyAlignment="1">
      <alignment horizontal="center" vertical="center" wrapText="1"/>
    </xf>
    <xf numFmtId="0" fontId="23" fillId="16" borderId="53" xfId="0" applyFont="1" applyFill="1" applyBorder="1" applyAlignment="1">
      <alignment horizontal="center" vertical="center" wrapText="1"/>
    </xf>
    <xf numFmtId="0" fontId="23" fillId="16" borderId="54" xfId="0" applyFont="1" applyFill="1" applyBorder="1" applyAlignment="1">
      <alignment horizontal="center" vertical="center" wrapText="1"/>
    </xf>
    <xf numFmtId="0" fontId="6" fillId="0" borderId="0" xfId="0" applyFont="1" applyBorder="1" applyAlignment="1"/>
  </cellXfs>
  <cellStyles count="11">
    <cellStyle name="Excel Built-in Bad" xfId="10" xr:uid="{00000000-0005-0000-0000-00000F000000}"/>
    <cellStyle name="Moneda 2" xfId="1" xr:uid="{00000000-0005-0000-0000-000006000000}"/>
    <cellStyle name="Moneda 2 2" xfId="2" xr:uid="{00000000-0005-0000-0000-000007000000}"/>
    <cellStyle name="Moneda 2 3" xfId="3" xr:uid="{00000000-0005-0000-0000-000008000000}"/>
    <cellStyle name="Moneda 3" xfId="4" xr:uid="{00000000-0005-0000-0000-000009000000}"/>
    <cellStyle name="Moneda 4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Normal 3 2" xfId="8" xr:uid="{00000000-0005-0000-0000-00000D000000}"/>
    <cellStyle name="Normal 4" xfId="9" xr:uid="{00000000-0005-0000-0000-00000E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2EFDA"/>
      <rgbColor rgb="FF660066"/>
      <rgbColor rgb="FFD9D9D9"/>
      <rgbColor rgb="FF0066CC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AE3F3"/>
      <rgbColor rgb="FFC6EFCE"/>
      <rgbColor rgb="FFFFEB9C"/>
      <rgbColor rgb="FF9DC3E6"/>
      <rgbColor rgb="FFF4B183"/>
      <rgbColor rgb="FFC9C9C9"/>
      <rgbColor rgb="FFFFC7CE"/>
      <rgbColor rgb="FF4472C4"/>
      <rgbColor rgb="FFD9E1F2"/>
      <rgbColor rgb="FFDBDBDB"/>
      <rgbColor rgb="FFFFC000"/>
      <rgbColor rgb="FFFBE5D6"/>
      <rgbColor rgb="FFFF6600"/>
      <rgbColor rgb="FF666699"/>
      <rgbColor rgb="FFA6A6A6"/>
      <rgbColor rgb="FF203864"/>
      <rgbColor rgb="FF70AD47"/>
      <rgbColor rgb="FF003300"/>
      <rgbColor rgb="FF333300"/>
      <rgbColor rgb="FF9C5700"/>
      <rgbColor rgb="FF993366"/>
      <rgbColor rgb="FF1F4E78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321480</xdr:colOff>
      <xdr:row>0</xdr:row>
      <xdr:rowOff>237960</xdr:rowOff>
    </xdr:from>
    <xdr:to>
      <xdr:col>12</xdr:col>
      <xdr:colOff>868320</xdr:colOff>
      <xdr:row>4</xdr:row>
      <xdr:rowOff>85320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54800" y="237960"/>
          <a:ext cx="1815480" cy="838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1</xdr:row>
      <xdr:rowOff>47520</xdr:rowOff>
    </xdr:from>
    <xdr:to>
      <xdr:col>1</xdr:col>
      <xdr:colOff>799200</xdr:colOff>
      <xdr:row>1</xdr:row>
      <xdr:rowOff>1065960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r="72002"/>
        <a:stretch/>
      </xdr:blipFill>
      <xdr:spPr>
        <a:xfrm>
          <a:off x="9360" y="228600"/>
          <a:ext cx="1721520" cy="10184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3" displayName="Tabla33" ref="A4:Z9" totalsRowShown="0">
  <autoFilter ref="A4:Z9" xr:uid="{00000000-0009-0000-0100-000001000000}"/>
  <tableColumns count="26">
    <tableColumn id="1" xr3:uid="{00000000-0010-0000-0000-000001000000}" name="Líder"/>
    <tableColumn id="2" xr3:uid="{00000000-0010-0000-0000-000002000000}" name="Nomproy"/>
    <tableColumn id="3" xr3:uid="{00000000-0010-0000-0000-000003000000}" name="Codproy"/>
    <tableColumn id="4" xr3:uid="{00000000-0010-0000-0000-000004000000}" name="Cliente"/>
    <tableColumn id="5" xr3:uid="{00000000-0010-0000-0000-000005000000}" name="Contacto"/>
    <tableColumn id="6" xr3:uid="{00000000-0010-0000-0000-000006000000}" name="Telcontacto"/>
    <tableColumn id="7" xr3:uid="{00000000-0010-0000-0000-000007000000}" name="Envdate"/>
    <tableColumn id="8" xr3:uid="{00000000-0010-0000-0000-000008000000}" name="Reqdate"/>
    <tableColumn id="9" xr3:uid="{00000000-0010-0000-0000-000009000000}" name="Obradate"/>
    <tableColumn id="10" xr3:uid="{00000000-0010-0000-0000-00000A000000}" name="Presupuesto"/>
    <tableColumn id="11" xr3:uid="{00000000-0010-0000-0000-00000B000000}" name="Prioridad"/>
    <tableColumn id="12" xr3:uid="{00000000-0010-0000-0000-00000C000000}" name="Giro"/>
    <tableColumn id="13" xr3:uid="{00000000-0010-0000-0000-00000D000000}" name="Carpeta Cuisine"/>
    <tableColumn id="14" xr3:uid="{00000000-0010-0000-0000-00000E000000}" name="Sistema Alpin"/>
    <tableColumn id="15" xr3:uid="{00000000-0010-0000-0000-00000F000000}" name="Volumetría"/>
    <tableColumn id="16" xr3:uid="{00000000-0010-0000-0000-000010000000}" name="Cotización"/>
    <tableColumn id="17" xr3:uid="{00000000-0010-0000-0000-000011000000}" name="Cierre"/>
    <tableColumn id="18" xr3:uid="{00000000-0010-0000-0000-000012000000}" name="Anticipo"/>
    <tableColumn id="19" xr3:uid="{00000000-0010-0000-0000-000013000000}" name="Almacén de proyecto"/>
    <tableColumn id="20" xr3:uid="{00000000-0010-0000-0000-000014000000}" name="sG"/>
    <tableColumn id="21" xr3:uid="{00000000-0010-0000-0000-000015000000}" name="Facturación"/>
    <tableColumn id="22" xr3:uid="{00000000-0010-0000-0000-000016000000}" name="Finiquito"/>
    <tableColumn id="23" xr3:uid="{00000000-0010-0000-0000-000017000000}" name="Entrega"/>
    <tableColumn id="24" xr3:uid="{00000000-0010-0000-0000-000018000000}" name="Avance"/>
    <tableColumn id="25" xr3:uid="{00000000-0010-0000-0000-000019000000}" name="Semáforo"/>
    <tableColumn id="26" xr3:uid="{00000000-0010-0000-0000-00001A000000}" name="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7EE"/>
    <pageSetUpPr fitToPage="1"/>
  </sheetPr>
  <dimension ref="A1:Q177"/>
  <sheetViews>
    <sheetView zoomScaleNormal="100" workbookViewId="0">
      <selection activeCell="D21" sqref="D21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4.17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0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1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11</v>
      </c>
      <c r="C7" s="11">
        <v>143666.1145</v>
      </c>
      <c r="D7" s="11">
        <v>176493.948</v>
      </c>
      <c r="E7" s="11">
        <f>D7-C7</f>
        <v>32827.833500000008</v>
      </c>
      <c r="F7" s="12">
        <f>D7/C7-1</f>
        <v>0.22850087937750985</v>
      </c>
      <c r="G7" s="13">
        <v>4297825.1136063999</v>
      </c>
      <c r="H7" s="13">
        <v>4667282.95</v>
      </c>
      <c r="I7" s="13">
        <f>H7-G7</f>
        <v>369457.83639360033</v>
      </c>
      <c r="J7" s="12">
        <f>H7/G7-1</f>
        <v>8.5963906540529322E-2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12000</v>
      </c>
      <c r="C11" s="20" t="s">
        <v>22</v>
      </c>
      <c r="D11" s="21">
        <v>0.7</v>
      </c>
      <c r="E11" s="22">
        <f>B11*D11</f>
        <v>8400</v>
      </c>
      <c r="F11" s="23"/>
      <c r="G11" s="20" t="s">
        <v>22</v>
      </c>
      <c r="H11" s="24">
        <f>G7</f>
        <v>4297825.1136063999</v>
      </c>
      <c r="I11" s="24">
        <f>H7</f>
        <v>4667282.95</v>
      </c>
      <c r="J11" s="25">
        <f>IFERROR(I11/H11,0)</f>
        <v>1.0859639065405293</v>
      </c>
      <c r="K11" s="26">
        <f>IF(J11&lt;M11,0,J11*$E11)</f>
        <v>9122.0968149404471</v>
      </c>
      <c r="M11" s="27">
        <v>0.9</v>
      </c>
    </row>
    <row r="12" spans="1:15" ht="14.25" customHeight="1">
      <c r="A12" s="2"/>
      <c r="B12" s="307"/>
      <c r="C12" s="28" t="s">
        <v>23</v>
      </c>
      <c r="D12" s="21">
        <v>0.12</v>
      </c>
      <c r="E12" s="22">
        <f>B11*D12</f>
        <v>1440</v>
      </c>
      <c r="F12" s="23"/>
      <c r="G12" s="28" t="str">
        <f>C12</f>
        <v>Cierre de 3 pedidos  1000 Kgcon clientes actuales de FMC</v>
      </c>
      <c r="H12" s="12">
        <v>1</v>
      </c>
      <c r="I12" s="12"/>
      <c r="J12" s="12">
        <f>I12/H12</f>
        <v>0</v>
      </c>
      <c r="K12" s="26">
        <f>IF(J12&lt;M12,0,J12*$E12)</f>
        <v>0</v>
      </c>
      <c r="M12" s="27">
        <v>0.8</v>
      </c>
    </row>
    <row r="13" spans="1:15" ht="14.25" customHeight="1">
      <c r="A13" s="2"/>
      <c r="B13" s="307"/>
      <c r="C13" s="28" t="s">
        <v>24</v>
      </c>
      <c r="D13" s="21">
        <v>0.05</v>
      </c>
      <c r="E13" s="22">
        <f>B$11*D$13</f>
        <v>600</v>
      </c>
      <c r="F13" s="23"/>
      <c r="G13" s="28" t="str">
        <f>C13</f>
        <v>Contar con calendario de pruebas inicios de año 2020</v>
      </c>
      <c r="H13" s="12">
        <v>1</v>
      </c>
      <c r="I13" s="12"/>
      <c r="J13" s="12">
        <f>I13/H13</f>
        <v>0</v>
      </c>
      <c r="K13" s="26">
        <f>IF(J13&lt;M13,0,J13*$E13)</f>
        <v>0</v>
      </c>
      <c r="M13" s="27">
        <v>1</v>
      </c>
    </row>
    <row r="14" spans="1:15" ht="14.25" customHeight="1">
      <c r="A14" s="2"/>
      <c r="B14" s="307"/>
      <c r="C14" s="28" t="s">
        <v>25</v>
      </c>
      <c r="D14" s="21">
        <v>0.05</v>
      </c>
      <c r="E14" s="22">
        <f>B$11*D$13</f>
        <v>600</v>
      </c>
      <c r="F14" s="23"/>
      <c r="G14" s="28" t="str">
        <f>C14</f>
        <v>Presentar estrategica por region Occidente 2020</v>
      </c>
      <c r="H14" s="12">
        <v>1</v>
      </c>
      <c r="I14" s="12"/>
      <c r="J14" s="12">
        <f>I14/H14</f>
        <v>0</v>
      </c>
      <c r="K14" s="26">
        <f>IF(J14&lt;M14,0,J14*$E14)</f>
        <v>0</v>
      </c>
      <c r="M14" s="27">
        <v>0.75</v>
      </c>
    </row>
    <row r="15" spans="1:15" ht="14.25" customHeight="1">
      <c r="A15" s="2"/>
      <c r="B15" s="307"/>
      <c r="C15" s="28" t="s">
        <v>26</v>
      </c>
      <c r="D15" s="21">
        <v>0.08</v>
      </c>
      <c r="E15" s="22">
        <f>B11*D15</f>
        <v>960</v>
      </c>
      <c r="F15" s="23"/>
      <c r="G15" s="28" t="str">
        <f>C15</f>
        <v xml:space="preserve">Presentar presupuesto lunes 6 de Diciembre </v>
      </c>
      <c r="H15" s="12">
        <v>1</v>
      </c>
      <c r="I15" s="12"/>
      <c r="J15" s="12">
        <f>I15/H15</f>
        <v>0</v>
      </c>
      <c r="K15" s="26">
        <f>IF(J15&lt;M15,0,J15*$E15)</f>
        <v>0</v>
      </c>
      <c r="M15" s="27">
        <v>0.75</v>
      </c>
    </row>
    <row r="16" spans="1:15" ht="14.25" customHeight="1">
      <c r="A16" s="2"/>
      <c r="B16" s="29"/>
      <c r="C16" s="30" t="s">
        <v>27</v>
      </c>
      <c r="D16" s="31">
        <f>SUM(D11:D15)</f>
        <v>1</v>
      </c>
      <c r="E16" s="32">
        <f>SUM(E11:E15)</f>
        <v>12000</v>
      </c>
      <c r="F16" s="23"/>
      <c r="G16" s="33"/>
      <c r="J16" s="34" t="s">
        <v>28</v>
      </c>
      <c r="K16" s="35">
        <f>SUM(K12:K15)</f>
        <v>0</v>
      </c>
      <c r="M16" s="36"/>
      <c r="N16" s="37"/>
    </row>
    <row r="17" spans="1:15" ht="15" customHeight="1">
      <c r="A17" s="2"/>
      <c r="F17" s="23"/>
      <c r="M17" s="36"/>
      <c r="N17" s="37"/>
    </row>
    <row r="18" spans="1:15" ht="15" customHeight="1">
      <c r="A18" s="2"/>
      <c r="F18" s="23"/>
      <c r="J18" s="38" t="s">
        <v>29</v>
      </c>
      <c r="K18" s="39">
        <f>+K16+K11</f>
        <v>9122.0968149404471</v>
      </c>
    </row>
    <row r="19" spans="1:15" ht="14.25" customHeight="1">
      <c r="A19" s="2"/>
      <c r="F19" s="33"/>
    </row>
    <row r="20" spans="1:15" ht="14.25" customHeight="1">
      <c r="A20" s="2"/>
      <c r="F20" s="33"/>
      <c r="G20" s="40"/>
    </row>
    <row r="21" spans="1:15" ht="14.25" customHeight="1">
      <c r="A21" s="2"/>
      <c r="F21" s="33"/>
      <c r="G21" s="40"/>
    </row>
    <row r="23" spans="1:15" ht="15" customHeight="1"/>
    <row r="24" spans="1:15" ht="21" customHeight="1">
      <c r="C24" s="308" t="s">
        <v>30</v>
      </c>
      <c r="D24" s="308"/>
      <c r="E24" s="308"/>
      <c r="F24" s="308"/>
      <c r="G24" s="308"/>
      <c r="H24" s="308"/>
      <c r="I24" s="308"/>
      <c r="J24" s="308"/>
    </row>
    <row r="25" spans="1:15" ht="14.25" customHeight="1">
      <c r="A25" s="2"/>
      <c r="O25" s="3"/>
    </row>
    <row r="26" spans="1:15" ht="14.25" customHeight="1">
      <c r="A26" s="2"/>
      <c r="C26" s="303" t="s">
        <v>2</v>
      </c>
      <c r="D26" s="303"/>
      <c r="E26" s="4" t="s">
        <v>3</v>
      </c>
      <c r="F26" s="4"/>
      <c r="G26" s="303" t="s">
        <v>4</v>
      </c>
      <c r="H26" s="303"/>
      <c r="I26" s="304" t="s">
        <v>3</v>
      </c>
      <c r="J26" s="304"/>
    </row>
    <row r="27" spans="1:15" ht="14.25" customHeight="1">
      <c r="A27" s="2"/>
      <c r="B27" s="5" t="s">
        <v>5</v>
      </c>
      <c r="C27" s="6" t="s">
        <v>6</v>
      </c>
      <c r="D27" s="7" t="s">
        <v>7</v>
      </c>
      <c r="E27" s="8" t="s">
        <v>8</v>
      </c>
      <c r="F27" s="8" t="s">
        <v>9</v>
      </c>
      <c r="G27" s="6" t="s">
        <v>6</v>
      </c>
      <c r="H27" s="7" t="s">
        <v>7</v>
      </c>
      <c r="I27" s="8" t="s">
        <v>10</v>
      </c>
      <c r="J27" s="9" t="s">
        <v>9</v>
      </c>
    </row>
    <row r="28" spans="1:15" ht="14.25" customHeight="1">
      <c r="A28" s="2"/>
      <c r="B28" s="10" t="str">
        <f>$B$7</f>
        <v>ENERO</v>
      </c>
      <c r="C28" s="11">
        <v>38799</v>
      </c>
      <c r="D28" s="11">
        <v>24322.563999999998</v>
      </c>
      <c r="E28" s="11">
        <f>D28-C28</f>
        <v>-14476.436000000002</v>
      </c>
      <c r="F28" s="12">
        <f>D28/C28-1</f>
        <v>-0.37311363694940591</v>
      </c>
      <c r="G28" s="13">
        <v>2453010.0628999998</v>
      </c>
      <c r="H28" s="13">
        <v>1240760.1399999999</v>
      </c>
      <c r="I28" s="13">
        <f>H28-G28</f>
        <v>-1212249.9228999999</v>
      </c>
      <c r="J28" s="12">
        <f>H28/G28-1</f>
        <v>-0.49418872805880487</v>
      </c>
    </row>
    <row r="29" spans="1:15" ht="14.25" customHeight="1">
      <c r="A29" s="2"/>
    </row>
    <row r="30" spans="1:15" ht="15" customHeight="1">
      <c r="A30" s="2"/>
      <c r="B30" s="305" t="s">
        <v>12</v>
      </c>
      <c r="C30" s="305"/>
      <c r="D30" s="305"/>
      <c r="E30" s="305"/>
      <c r="G30" s="15" t="s">
        <v>31</v>
      </c>
      <c r="H30" s="15"/>
      <c r="I30" s="15"/>
      <c r="J30" s="15"/>
      <c r="K30" s="15"/>
    </row>
    <row r="31" spans="1:15" ht="29.25" customHeight="1">
      <c r="A31" s="2"/>
      <c r="B31" s="9" t="s">
        <v>14</v>
      </c>
      <c r="C31" s="9" t="s">
        <v>15</v>
      </c>
      <c r="D31" s="16" t="s">
        <v>16</v>
      </c>
      <c r="E31" s="9" t="s">
        <v>17</v>
      </c>
      <c r="F31" s="19" t="s">
        <v>21</v>
      </c>
      <c r="G31" s="9" t="s">
        <v>15</v>
      </c>
      <c r="H31" s="18" t="s">
        <v>18</v>
      </c>
      <c r="I31" s="9" t="s">
        <v>19</v>
      </c>
      <c r="J31" s="9" t="s">
        <v>20</v>
      </c>
      <c r="K31" s="9" t="s">
        <v>14</v>
      </c>
      <c r="M31" s="9" t="s">
        <v>21</v>
      </c>
    </row>
    <row r="32" spans="1:15" ht="14.25" customHeight="1">
      <c r="A32" s="2"/>
      <c r="B32" s="41">
        <v>1000</v>
      </c>
      <c r="C32" s="42" t="s">
        <v>22</v>
      </c>
      <c r="D32" s="43">
        <f>E32/$B$37</f>
        <v>0.15384615384615385</v>
      </c>
      <c r="E32" s="44">
        <v>1000</v>
      </c>
      <c r="F32" s="45">
        <v>0.5</v>
      </c>
      <c r="G32" s="28" t="str">
        <f>C32</f>
        <v>Cumplimiento Presupuesto</v>
      </c>
      <c r="H32" s="41">
        <f>G28</f>
        <v>2453010.0628999998</v>
      </c>
      <c r="I32" s="41">
        <f>H28</f>
        <v>1240760.1399999999</v>
      </c>
      <c r="J32" s="45">
        <f>IFERROR(I32/H32,0)</f>
        <v>0.50581127194119513</v>
      </c>
      <c r="K32" s="26">
        <f>IF(J32&lt;M32,0,J32*$E32)</f>
        <v>505.81127194119512</v>
      </c>
      <c r="M32" s="45">
        <v>0.5</v>
      </c>
    </row>
    <row r="33" spans="1:13" ht="14.25" customHeight="1">
      <c r="A33" s="2"/>
      <c r="B33" s="41">
        <v>1000</v>
      </c>
      <c r="C33" s="42" t="s">
        <v>32</v>
      </c>
      <c r="D33" s="43">
        <f>E33/$B$37</f>
        <v>0.15384615384615385</v>
      </c>
      <c r="E33" s="44">
        <v>1000</v>
      </c>
      <c r="F33" s="45">
        <v>1</v>
      </c>
      <c r="G33" s="28" t="str">
        <f>C33</f>
        <v xml:space="preserve">Pruebas atorizadas por realizar con cliente </v>
      </c>
      <c r="H33" s="12">
        <v>1</v>
      </c>
      <c r="I33" s="41"/>
      <c r="J33" s="45">
        <f>IFERROR(I33/H33,0)</f>
        <v>0</v>
      </c>
      <c r="K33" s="26">
        <f>IF(J33&lt;M33,0,J33*$E33)</f>
        <v>0</v>
      </c>
      <c r="M33" s="45">
        <v>1</v>
      </c>
    </row>
    <row r="34" spans="1:13" ht="14.25" customHeight="1">
      <c r="A34" s="2"/>
      <c r="B34" s="41">
        <v>1500</v>
      </c>
      <c r="C34" s="20" t="s">
        <v>33</v>
      </c>
      <c r="D34" s="43">
        <f>E34/$B$37</f>
        <v>0.23076923076923078</v>
      </c>
      <c r="E34" s="44">
        <v>1500</v>
      </c>
      <c r="F34" s="45">
        <v>1</v>
      </c>
      <c r="G34" s="28" t="str">
        <f>C34</f>
        <v xml:space="preserve">Armado e implementación estrategia Baja California </v>
      </c>
      <c r="H34" s="12">
        <v>1</v>
      </c>
      <c r="I34" s="12"/>
      <c r="J34" s="45">
        <f>IFERROR(I34/H34,0)</f>
        <v>0</v>
      </c>
      <c r="K34" s="26">
        <f>IF(J34&lt;M34,0,J34*$E34)</f>
        <v>0</v>
      </c>
      <c r="M34" s="45">
        <v>1</v>
      </c>
    </row>
    <row r="35" spans="1:13" ht="14.25" customHeight="1">
      <c r="A35" s="2"/>
      <c r="B35" s="41">
        <v>1500</v>
      </c>
      <c r="C35" s="28" t="s">
        <v>34</v>
      </c>
      <c r="D35" s="43">
        <f>E35/$B$37</f>
        <v>0.23076923076923078</v>
      </c>
      <c r="E35" s="44">
        <v>1500</v>
      </c>
      <c r="F35" s="45">
        <v>0.75</v>
      </c>
      <c r="G35" s="28" t="str">
        <f>C35</f>
        <v>Presentar estrategica por región 2020</v>
      </c>
      <c r="H35" s="12">
        <v>1</v>
      </c>
      <c r="I35" s="12"/>
      <c r="J35" s="45">
        <f>IFERROR(I35/H35,0)</f>
        <v>0</v>
      </c>
      <c r="K35" s="26">
        <f>IF(J35&lt;M35,0,J35*$E35)</f>
        <v>0</v>
      </c>
      <c r="M35" s="45">
        <v>0.75</v>
      </c>
    </row>
    <row r="36" spans="1:13" ht="14.25" customHeight="1">
      <c r="A36" s="2"/>
      <c r="B36" s="41">
        <v>1500</v>
      </c>
      <c r="C36" s="28" t="s">
        <v>26</v>
      </c>
      <c r="D36" s="43">
        <f>E36/$B$37</f>
        <v>0.23076923076923078</v>
      </c>
      <c r="E36" s="44">
        <v>1500</v>
      </c>
      <c r="F36" s="45">
        <v>0.75</v>
      </c>
      <c r="G36" s="28" t="str">
        <f>C36</f>
        <v xml:space="preserve">Presentar presupuesto lunes 6 de Diciembre </v>
      </c>
      <c r="H36" s="12">
        <v>1</v>
      </c>
      <c r="I36" s="12"/>
      <c r="J36" s="45">
        <f>IFERROR(I36/H36,0)</f>
        <v>0</v>
      </c>
      <c r="K36" s="26">
        <f>IF(J36&lt;M36,0,J36*$E36)</f>
        <v>0</v>
      </c>
      <c r="M36" s="45">
        <v>0.75</v>
      </c>
    </row>
    <row r="37" spans="1:13" ht="14.25" customHeight="1">
      <c r="A37" s="2"/>
      <c r="B37" s="46">
        <f>SUM(B32:B36)</f>
        <v>6500</v>
      </c>
      <c r="C37" s="30" t="s">
        <v>27</v>
      </c>
      <c r="D37" s="47"/>
      <c r="E37" s="48">
        <f>SUM(E31:E36)</f>
        <v>6500</v>
      </c>
      <c r="F37" s="23"/>
      <c r="G37" s="33"/>
      <c r="I37" s="49"/>
      <c r="J37" s="34" t="s">
        <v>28</v>
      </c>
      <c r="K37" s="35">
        <f>SUM(K34:K34)</f>
        <v>0</v>
      </c>
    </row>
    <row r="38" spans="1:13" ht="15" customHeight="1">
      <c r="A38" s="2"/>
      <c r="C38" s="50"/>
      <c r="D38" s="51"/>
      <c r="E38" s="52"/>
      <c r="F38" s="23"/>
    </row>
    <row r="39" spans="1:13" ht="14.25" customHeight="1">
      <c r="A39" s="2"/>
      <c r="F39" s="23"/>
      <c r="J39" s="53" t="s">
        <v>29</v>
      </c>
      <c r="K39" s="54">
        <f>+K37+K32</f>
        <v>505.81127194119512</v>
      </c>
    </row>
    <row r="40" spans="1:13" ht="14.25" customHeight="1">
      <c r="A40" s="2"/>
      <c r="F40" s="33"/>
      <c r="J40" s="55" t="s">
        <v>35</v>
      </c>
      <c r="K40" s="22"/>
    </row>
    <row r="41" spans="1:13" ht="14.25" customHeight="1">
      <c r="F41" s="33"/>
      <c r="J41" s="56" t="s">
        <v>36</v>
      </c>
      <c r="K41" s="57">
        <f>+K39-K40</f>
        <v>505.81127194119512</v>
      </c>
    </row>
    <row r="42" spans="1:13" ht="15" customHeight="1"/>
    <row r="43" spans="1:13" ht="21" customHeight="1">
      <c r="C43" s="308" t="s">
        <v>37</v>
      </c>
      <c r="D43" s="308"/>
      <c r="E43" s="308"/>
      <c r="F43" s="308"/>
      <c r="G43" s="308"/>
      <c r="H43" s="308"/>
      <c r="I43" s="308"/>
      <c r="J43" s="308"/>
    </row>
    <row r="45" spans="1:13" ht="14.25" customHeight="1">
      <c r="C45" s="303" t="s">
        <v>2</v>
      </c>
      <c r="D45" s="303"/>
      <c r="E45" s="4" t="s">
        <v>3</v>
      </c>
      <c r="F45" s="4"/>
      <c r="G45" s="303" t="s">
        <v>4</v>
      </c>
      <c r="H45" s="303"/>
      <c r="I45" s="304" t="s">
        <v>3</v>
      </c>
      <c r="J45" s="304"/>
    </row>
    <row r="46" spans="1:13" ht="14.25" customHeight="1">
      <c r="B46" s="5" t="s">
        <v>5</v>
      </c>
      <c r="C46" s="6" t="s">
        <v>6</v>
      </c>
      <c r="D46" s="7" t="s">
        <v>7</v>
      </c>
      <c r="E46" s="8" t="s">
        <v>8</v>
      </c>
      <c r="F46" s="8" t="s">
        <v>9</v>
      </c>
      <c r="G46" s="6" t="s">
        <v>6</v>
      </c>
      <c r="H46" s="7" t="s">
        <v>7</v>
      </c>
      <c r="I46" s="8" t="s">
        <v>10</v>
      </c>
      <c r="J46" s="9" t="s">
        <v>9</v>
      </c>
    </row>
    <row r="47" spans="1:13" ht="14.25" customHeight="1">
      <c r="B47" s="10" t="str">
        <f>$B$7</f>
        <v>ENERO</v>
      </c>
      <c r="C47" s="11">
        <v>22303.184294999999</v>
      </c>
      <c r="D47" s="11">
        <v>29864.766</v>
      </c>
      <c r="E47" s="11">
        <f>D47-C47</f>
        <v>7561.5817050000005</v>
      </c>
      <c r="F47" s="12">
        <f>D47/C47-1</f>
        <v>0.33903596925821855</v>
      </c>
      <c r="G47" s="13">
        <v>1364911.64603817</v>
      </c>
      <c r="H47" s="13">
        <v>1383531</v>
      </c>
      <c r="I47" s="13">
        <f>H47-G47</f>
        <v>18619.353961830027</v>
      </c>
      <c r="J47" s="12">
        <f>H47/G47-1</f>
        <v>1.3641435338232366E-2</v>
      </c>
    </row>
    <row r="49" spans="2:13" ht="14.25" customHeight="1">
      <c r="B49" s="305" t="s">
        <v>12</v>
      </c>
      <c r="C49" s="305"/>
      <c r="D49" s="305"/>
      <c r="E49" s="305"/>
      <c r="G49" s="306" t="s">
        <v>13</v>
      </c>
      <c r="H49" s="306"/>
      <c r="I49" s="306"/>
      <c r="J49" s="306"/>
      <c r="K49" s="306"/>
    </row>
    <row r="50" spans="2:13" ht="14.25" customHeight="1">
      <c r="B50" s="9" t="s">
        <v>14</v>
      </c>
      <c r="C50" s="9" t="s">
        <v>15</v>
      </c>
      <c r="D50" s="16" t="s">
        <v>16</v>
      </c>
      <c r="E50" s="9" t="s">
        <v>17</v>
      </c>
      <c r="F50" s="14"/>
      <c r="G50" s="9" t="s">
        <v>15</v>
      </c>
      <c r="H50" s="18" t="s">
        <v>18</v>
      </c>
      <c r="I50" s="9" t="s">
        <v>19</v>
      </c>
      <c r="J50" s="9" t="s">
        <v>20</v>
      </c>
      <c r="K50" s="9" t="s">
        <v>14</v>
      </c>
    </row>
    <row r="51" spans="2:13" ht="14.25" customHeight="1">
      <c r="B51" s="309">
        <v>7000</v>
      </c>
      <c r="C51" s="20" t="s">
        <v>22</v>
      </c>
      <c r="D51" s="58">
        <v>0.5</v>
      </c>
      <c r="E51" s="26">
        <f>B51*D51</f>
        <v>3500</v>
      </c>
      <c r="F51" s="17"/>
      <c r="G51" s="28" t="str">
        <f>C51</f>
        <v>Cumplimiento Presupuesto</v>
      </c>
      <c r="H51" s="41">
        <f>G47</f>
        <v>1364911.64603817</v>
      </c>
      <c r="I51" s="41">
        <f>H47</f>
        <v>1383531</v>
      </c>
      <c r="J51" s="45">
        <f>IFERROR(I51/H51,0)</f>
        <v>1.0136414353382324</v>
      </c>
      <c r="K51" s="26">
        <f>IF(J51&lt;M52,0,J51*$E51)</f>
        <v>3547.7450236838131</v>
      </c>
      <c r="M51" s="9" t="s">
        <v>21</v>
      </c>
    </row>
    <row r="52" spans="2:13" ht="21" customHeight="1">
      <c r="B52" s="309"/>
      <c r="C52" s="20" t="s">
        <v>38</v>
      </c>
      <c r="D52" s="58">
        <v>0.2</v>
      </c>
      <c r="E52" s="26">
        <f>B51*D52</f>
        <v>1400</v>
      </c>
      <c r="F52" s="23"/>
      <c r="G52" s="28" t="str">
        <f>C52</f>
        <v xml:space="preserve">Aplicación de pruebas unidades de chorizo </v>
      </c>
      <c r="H52" s="45">
        <v>1</v>
      </c>
      <c r="I52" s="45"/>
      <c r="J52" s="25">
        <f>IFERROR(I52/H52,0)</f>
        <v>0</v>
      </c>
      <c r="K52" s="26">
        <f>IF(J52&lt;M53,0,J52*$E52)</f>
        <v>0</v>
      </c>
      <c r="M52" s="45">
        <v>0.95</v>
      </c>
    </row>
    <row r="53" spans="2:13" ht="14.25" customHeight="1">
      <c r="B53" s="309"/>
      <c r="C53" s="28" t="s">
        <v>39</v>
      </c>
      <c r="D53" s="58">
        <v>0.2</v>
      </c>
      <c r="E53" s="26">
        <f>B51*D53</f>
        <v>1400</v>
      </c>
      <c r="F53" s="23"/>
      <c r="G53" s="28" t="str">
        <f>C53</f>
        <v xml:space="preserve">Prospectación </v>
      </c>
      <c r="H53" s="45">
        <v>1</v>
      </c>
      <c r="I53" s="45"/>
      <c r="J53" s="25">
        <f>IFERROR(I53/H53,0)</f>
        <v>0</v>
      </c>
      <c r="K53" s="26">
        <f>IF(J53&lt;M54,0,J53*$E53)</f>
        <v>0</v>
      </c>
      <c r="M53" s="45">
        <v>0.75</v>
      </c>
    </row>
    <row r="54" spans="2:13" ht="14.25" customHeight="1">
      <c r="B54" s="309"/>
      <c r="C54" s="28" t="s">
        <v>40</v>
      </c>
      <c r="D54" s="21">
        <v>0.1</v>
      </c>
      <c r="E54" s="22">
        <f>+D54*B51</f>
        <v>700</v>
      </c>
      <c r="F54" s="23"/>
      <c r="G54" s="28" t="str">
        <f>C54</f>
        <v xml:space="preserve">Cierre de venta con productos nuevos AGR </v>
      </c>
      <c r="H54" s="45">
        <v>1</v>
      </c>
      <c r="I54" s="45"/>
      <c r="J54" s="25">
        <f>IFERROR(I54/H54,0)</f>
        <v>0</v>
      </c>
      <c r="K54" s="26">
        <f>IF(J54&lt;M55,0,J54*$E54)</f>
        <v>0</v>
      </c>
      <c r="M54" s="45">
        <v>0.75</v>
      </c>
    </row>
    <row r="55" spans="2:13" ht="14.25" customHeight="1">
      <c r="C55" s="30" t="s">
        <v>27</v>
      </c>
      <c r="D55" s="47">
        <f>SUM(D51:D54)</f>
        <v>0.99999999999999989</v>
      </c>
      <c r="E55" s="32">
        <f>SUM(E51:E54)</f>
        <v>7000</v>
      </c>
      <c r="F55" s="23"/>
      <c r="G55" s="33"/>
      <c r="I55" s="49"/>
      <c r="J55" s="34" t="s">
        <v>28</v>
      </c>
      <c r="K55" s="35">
        <f>SUM(K52:K54)</f>
        <v>0</v>
      </c>
      <c r="M55" s="45">
        <v>0.75</v>
      </c>
    </row>
    <row r="56" spans="2:13" ht="15" customHeight="1">
      <c r="F56" s="23"/>
    </row>
    <row r="57" spans="2:13" ht="15" customHeight="1">
      <c r="F57" s="23"/>
      <c r="J57" s="38" t="s">
        <v>29</v>
      </c>
      <c r="K57" s="39">
        <f>+K55+K51</f>
        <v>3547.7450236838131</v>
      </c>
    </row>
    <row r="58" spans="2:13" ht="14.25" customHeight="1">
      <c r="F58" s="23"/>
      <c r="G58" s="40"/>
    </row>
    <row r="59" spans="2:13" ht="14.25" customHeight="1">
      <c r="F59" s="23"/>
    </row>
    <row r="60" spans="2:13" ht="15" customHeight="1"/>
    <row r="61" spans="2:13" ht="21" customHeight="1">
      <c r="C61" s="308" t="s">
        <v>41</v>
      </c>
      <c r="D61" s="308"/>
      <c r="E61" s="308"/>
      <c r="F61" s="308"/>
      <c r="G61" s="308"/>
      <c r="H61" s="308"/>
      <c r="I61" s="308"/>
      <c r="J61" s="308"/>
    </row>
    <row r="63" spans="2:13" ht="14.25" customHeight="1">
      <c r="C63" s="303" t="s">
        <v>2</v>
      </c>
      <c r="D63" s="303"/>
      <c r="E63" s="4" t="s">
        <v>3</v>
      </c>
      <c r="F63" s="4"/>
      <c r="G63" s="303" t="s">
        <v>4</v>
      </c>
      <c r="H63" s="303"/>
      <c r="I63" s="304" t="s">
        <v>3</v>
      </c>
      <c r="J63" s="304"/>
    </row>
    <row r="64" spans="2:13" ht="14.25" customHeight="1">
      <c r="B64" s="5" t="s">
        <v>5</v>
      </c>
      <c r="C64" s="6" t="s">
        <v>6</v>
      </c>
      <c r="D64" s="7" t="s">
        <v>7</v>
      </c>
      <c r="E64" s="8" t="s">
        <v>8</v>
      </c>
      <c r="F64" s="8" t="s">
        <v>9</v>
      </c>
      <c r="G64" s="6" t="s">
        <v>6</v>
      </c>
      <c r="H64" s="7" t="s">
        <v>7</v>
      </c>
      <c r="I64" s="8" t="s">
        <v>10</v>
      </c>
      <c r="J64" s="9" t="s">
        <v>9</v>
      </c>
    </row>
    <row r="65" spans="2:14" ht="14.25" customHeight="1">
      <c r="B65" s="10" t="str">
        <f>$B$7</f>
        <v>ENERO</v>
      </c>
      <c r="C65" s="11">
        <v>67465.635800000004</v>
      </c>
      <c r="D65" s="11">
        <v>51324.94</v>
      </c>
      <c r="E65" s="11">
        <f>D65-C65</f>
        <v>-16140.695800000001</v>
      </c>
      <c r="F65" s="12">
        <f>D65/C65-1</f>
        <v>-0.23924321780422619</v>
      </c>
      <c r="G65" s="13">
        <v>2234878.3884768002</v>
      </c>
      <c r="H65" s="13">
        <v>1879387.21</v>
      </c>
      <c r="I65" s="13">
        <f>H65-G65</f>
        <v>-355491.17847680021</v>
      </c>
      <c r="J65" s="12">
        <f>H65/G65-1</f>
        <v>-0.15906511079517316</v>
      </c>
    </row>
    <row r="67" spans="2:14" ht="15" customHeight="1">
      <c r="B67" s="305" t="s">
        <v>12</v>
      </c>
      <c r="C67" s="305"/>
      <c r="D67" s="305"/>
      <c r="E67" s="305"/>
      <c r="F67" s="14"/>
      <c r="G67" s="306" t="s">
        <v>13</v>
      </c>
      <c r="H67" s="306"/>
      <c r="I67" s="306"/>
      <c r="J67" s="306"/>
      <c r="K67" s="306"/>
    </row>
    <row r="68" spans="2:14" ht="14.25" customHeight="1">
      <c r="B68" s="9" t="s">
        <v>14</v>
      </c>
      <c r="C68" s="9" t="s">
        <v>15</v>
      </c>
      <c r="D68" s="16" t="s">
        <v>16</v>
      </c>
      <c r="E68" s="9" t="s">
        <v>17</v>
      </c>
      <c r="F68" s="17"/>
      <c r="G68" s="9" t="s">
        <v>15</v>
      </c>
      <c r="H68" s="18" t="s">
        <v>18</v>
      </c>
      <c r="I68" s="9" t="s">
        <v>19</v>
      </c>
      <c r="J68" s="9" t="s">
        <v>20</v>
      </c>
      <c r="K68" s="9" t="s">
        <v>14</v>
      </c>
      <c r="M68" s="9" t="s">
        <v>21</v>
      </c>
    </row>
    <row r="69" spans="2:14" ht="14.25" customHeight="1">
      <c r="B69" s="307">
        <v>10000</v>
      </c>
      <c r="C69" s="20" t="s">
        <v>22</v>
      </c>
      <c r="D69" s="21">
        <v>0.6</v>
      </c>
      <c r="E69" s="22">
        <f>+D69*B69</f>
        <v>6000</v>
      </c>
      <c r="F69" s="23"/>
      <c r="G69" s="28" t="str">
        <f>C69</f>
        <v>Cumplimiento Presupuesto</v>
      </c>
      <c r="H69" s="24">
        <f>G65</f>
        <v>2234878.3884768002</v>
      </c>
      <c r="I69" s="41">
        <f>H65</f>
        <v>1879387.21</v>
      </c>
      <c r="J69" s="25">
        <f>IFERROR(I69/H69,0)</f>
        <v>0.84093488920482684</v>
      </c>
      <c r="K69" s="26">
        <f>IF(J69&lt;M69,0,J69*$E69)</f>
        <v>5045.6093352289608</v>
      </c>
      <c r="M69" s="45">
        <v>0.8</v>
      </c>
    </row>
    <row r="70" spans="2:14" ht="14.25" customHeight="1">
      <c r="B70" s="307"/>
      <c r="C70" s="28" t="s">
        <v>42</v>
      </c>
      <c r="D70" s="21">
        <v>0.1</v>
      </c>
      <c r="E70" s="22">
        <f>B69*D70</f>
        <v>1000</v>
      </c>
      <c r="F70" s="23"/>
      <c r="G70" s="28" t="str">
        <f>C70</f>
        <v>Cierre de 3 pedidos  300 Kgcon clientes actuales de FMC</v>
      </c>
      <c r="H70" s="45">
        <v>1</v>
      </c>
      <c r="I70" s="59"/>
      <c r="J70" s="45">
        <f>I70/H70</f>
        <v>0</v>
      </c>
      <c r="K70" s="26">
        <f>IF(J70&lt;M70,0,J70*$E70)</f>
        <v>0</v>
      </c>
      <c r="M70" s="27">
        <v>0.8</v>
      </c>
      <c r="N70" s="34"/>
    </row>
    <row r="71" spans="2:14" ht="30" customHeight="1">
      <c r="B71" s="307"/>
      <c r="C71" s="28" t="s">
        <v>24</v>
      </c>
      <c r="D71" s="21">
        <v>0.12</v>
      </c>
      <c r="E71" s="22">
        <f>+D71*B69</f>
        <v>1200</v>
      </c>
      <c r="F71" s="23"/>
      <c r="G71" s="28" t="str">
        <f>C71</f>
        <v>Contar con calendario de pruebas inicios de año 2020</v>
      </c>
      <c r="H71" s="45">
        <v>1</v>
      </c>
      <c r="I71" s="45"/>
      <c r="J71" s="25">
        <f>IFERROR(I71/H71,0)</f>
        <v>0</v>
      </c>
      <c r="K71" s="26">
        <f>IF(J71&lt;M71,0,J71*$E71)</f>
        <v>0</v>
      </c>
      <c r="M71" s="45">
        <v>1</v>
      </c>
    </row>
    <row r="72" spans="2:14" ht="30" customHeight="1">
      <c r="B72" s="307"/>
      <c r="C72" s="28" t="s">
        <v>43</v>
      </c>
      <c r="D72" s="21">
        <v>7.0000000000000007E-2</v>
      </c>
      <c r="E72" s="22">
        <f>+D72*B69</f>
        <v>700.00000000000011</v>
      </c>
      <c r="F72" s="23"/>
      <c r="G72" s="28" t="str">
        <f>C72</f>
        <v>Presentar estrategica por region  2020</v>
      </c>
      <c r="H72" s="45">
        <v>1</v>
      </c>
      <c r="I72" s="45"/>
      <c r="J72" s="25">
        <f>IFERROR(I72/H72,0)</f>
        <v>0</v>
      </c>
      <c r="K72" s="26">
        <f>IF(J72&lt;M72,0,J72*$E72)</f>
        <v>0</v>
      </c>
      <c r="M72" s="45">
        <v>1</v>
      </c>
    </row>
    <row r="73" spans="2:14" ht="14.25" customHeight="1">
      <c r="B73" s="307"/>
      <c r="C73" s="28" t="s">
        <v>26</v>
      </c>
      <c r="D73" s="58">
        <v>0.11</v>
      </c>
      <c r="E73" s="22">
        <f>+D73*B69</f>
        <v>1100</v>
      </c>
      <c r="F73" s="60"/>
      <c r="G73" s="28" t="str">
        <f>C73</f>
        <v xml:space="preserve">Presentar presupuesto lunes 6 de Diciembre </v>
      </c>
      <c r="H73" s="45">
        <v>1</v>
      </c>
      <c r="I73" s="45"/>
      <c r="J73" s="25">
        <f>IFERROR(I73/H73,0)</f>
        <v>0</v>
      </c>
      <c r="K73" s="26">
        <f>IF(J73&lt;M73,0,J73*$E73)</f>
        <v>0</v>
      </c>
      <c r="M73" s="45">
        <v>1</v>
      </c>
    </row>
    <row r="74" spans="2:14" ht="14.25" customHeight="1">
      <c r="B74" s="29"/>
      <c r="C74" s="30" t="s">
        <v>27</v>
      </c>
      <c r="D74" s="31">
        <f>SUM(D69:D73)</f>
        <v>0.99999999999999989</v>
      </c>
      <c r="E74" s="32">
        <f>SUM(E69:E73)</f>
        <v>10000</v>
      </c>
      <c r="F74" s="23"/>
      <c r="G74" s="33"/>
      <c r="J74" s="34" t="s">
        <v>28</v>
      </c>
      <c r="K74" s="35">
        <f>SUM(K70:K73)</f>
        <v>0</v>
      </c>
      <c r="M74" s="61"/>
    </row>
    <row r="75" spans="2:14" ht="15" customHeight="1">
      <c r="F75" s="23"/>
    </row>
    <row r="76" spans="2:14" ht="15" customHeight="1">
      <c r="F76" s="23"/>
      <c r="J76" s="38" t="s">
        <v>29</v>
      </c>
      <c r="K76" s="39">
        <f>+K74+K69</f>
        <v>5045.6093352289608</v>
      </c>
    </row>
    <row r="77" spans="2:14" ht="14.25" customHeight="1">
      <c r="F77" s="23"/>
    </row>
    <row r="79" spans="2:14" ht="15" customHeight="1"/>
    <row r="80" spans="2:14" ht="21" customHeight="1">
      <c r="C80" s="308" t="s">
        <v>44</v>
      </c>
      <c r="D80" s="308"/>
      <c r="E80" s="308"/>
      <c r="F80" s="308"/>
      <c r="G80" s="308"/>
      <c r="H80" s="308"/>
      <c r="I80" s="308"/>
      <c r="J80" s="308"/>
    </row>
    <row r="82" spans="2:13" ht="14.25" customHeight="1">
      <c r="C82" s="303" t="s">
        <v>2</v>
      </c>
      <c r="D82" s="303"/>
      <c r="E82" s="4" t="s">
        <v>3</v>
      </c>
      <c r="F82" s="4"/>
      <c r="G82" s="303" t="s">
        <v>4</v>
      </c>
      <c r="H82" s="303"/>
      <c r="I82" s="304" t="s">
        <v>3</v>
      </c>
      <c r="J82" s="304"/>
    </row>
    <row r="83" spans="2:13" ht="14.25" customHeight="1">
      <c r="B83" s="5" t="s">
        <v>5</v>
      </c>
      <c r="C83" s="6" t="s">
        <v>6</v>
      </c>
      <c r="D83" s="7" t="s">
        <v>7</v>
      </c>
      <c r="E83" s="8" t="s">
        <v>8</v>
      </c>
      <c r="F83" s="8" t="s">
        <v>9</v>
      </c>
      <c r="G83" s="6" t="s">
        <v>6</v>
      </c>
      <c r="H83" s="7" t="s">
        <v>7</v>
      </c>
      <c r="I83" s="8" t="s">
        <v>10</v>
      </c>
      <c r="J83" s="9" t="s">
        <v>9</v>
      </c>
    </row>
    <row r="84" spans="2:13" ht="14.25" customHeight="1">
      <c r="B84" s="10" t="str">
        <f>$B$7</f>
        <v>ENERO</v>
      </c>
      <c r="C84" s="11">
        <v>67254.679999999993</v>
      </c>
      <c r="D84" s="11">
        <v>93055.9</v>
      </c>
      <c r="E84" s="11">
        <f>D84-C84</f>
        <v>25801.22</v>
      </c>
      <c r="F84" s="12">
        <f>D84/C84-1</f>
        <v>0.38363456639746119</v>
      </c>
      <c r="G84" s="13">
        <v>1864535.5523624001</v>
      </c>
      <c r="H84" s="13">
        <v>2148268.5099999998</v>
      </c>
      <c r="I84" s="13">
        <f>H84-G84</f>
        <v>283732.95763759967</v>
      </c>
      <c r="J84" s="12">
        <f>H84/G84-1</f>
        <v>0.152173530441994</v>
      </c>
    </row>
    <row r="86" spans="2:13" ht="14.25" customHeight="1">
      <c r="B86" s="305" t="s">
        <v>12</v>
      </c>
      <c r="C86" s="305"/>
      <c r="D86" s="305"/>
      <c r="E86" s="305"/>
      <c r="F86" s="14"/>
      <c r="G86" s="306" t="s">
        <v>13</v>
      </c>
      <c r="H86" s="306"/>
      <c r="I86" s="306"/>
      <c r="J86" s="306"/>
      <c r="K86" s="306"/>
    </row>
    <row r="87" spans="2:13" ht="14.25" customHeight="1">
      <c r="B87" s="9" t="s">
        <v>14</v>
      </c>
      <c r="C87" s="9" t="s">
        <v>15</v>
      </c>
      <c r="D87" s="16" t="s">
        <v>16</v>
      </c>
      <c r="E87" s="9" t="s">
        <v>17</v>
      </c>
      <c r="F87" s="17"/>
      <c r="G87" s="9" t="s">
        <v>15</v>
      </c>
      <c r="H87" s="18" t="s">
        <v>18</v>
      </c>
      <c r="I87" s="9" t="s">
        <v>19</v>
      </c>
      <c r="J87" s="9" t="s">
        <v>20</v>
      </c>
      <c r="K87" s="9" t="s">
        <v>14</v>
      </c>
      <c r="M87" s="9" t="s">
        <v>21</v>
      </c>
    </row>
    <row r="88" spans="2:13" ht="14.25" customHeight="1">
      <c r="B88" s="307"/>
      <c r="C88" s="20" t="s">
        <v>22</v>
      </c>
      <c r="D88" s="21">
        <v>0.6</v>
      </c>
      <c r="E88" s="22">
        <f>+D88*B88</f>
        <v>0</v>
      </c>
      <c r="F88" s="23"/>
      <c r="G88" s="28" t="str">
        <f>C88</f>
        <v>Cumplimiento Presupuesto</v>
      </c>
      <c r="H88" s="24">
        <f>G84</f>
        <v>1864535.5523624001</v>
      </c>
      <c r="I88" s="41">
        <f>H84</f>
        <v>2148268.5099999998</v>
      </c>
      <c r="J88" s="25">
        <f>IFERROR(I88/H88,0)</f>
        <v>1.152173530441994</v>
      </c>
      <c r="K88" s="26">
        <f>IF(J88&lt;M88,0,J88*$E88)</f>
        <v>0</v>
      </c>
      <c r="M88" s="45">
        <v>0.8</v>
      </c>
    </row>
    <row r="89" spans="2:13" ht="14.25" customHeight="1">
      <c r="B89" s="307"/>
      <c r="C89" s="28"/>
      <c r="D89" s="21">
        <v>0.1</v>
      </c>
      <c r="E89" s="22">
        <f>B88*D89</f>
        <v>0</v>
      </c>
      <c r="F89" s="23"/>
      <c r="G89" s="28">
        <f>C89</f>
        <v>0</v>
      </c>
      <c r="H89" s="45">
        <v>1</v>
      </c>
      <c r="I89" s="59"/>
      <c r="J89" s="45">
        <f>I89/H89</f>
        <v>0</v>
      </c>
      <c r="K89" s="26">
        <f>IF(J89&lt;M89,0,J89*$E89)</f>
        <v>0</v>
      </c>
      <c r="M89" s="27">
        <v>0.8</v>
      </c>
    </row>
    <row r="90" spans="2:13" ht="14.25" customHeight="1">
      <c r="B90" s="307"/>
      <c r="C90" s="28"/>
      <c r="D90" s="21">
        <v>0.12</v>
      </c>
      <c r="E90" s="22">
        <f>+D90*B88</f>
        <v>0</v>
      </c>
      <c r="F90" s="23"/>
      <c r="G90" s="28">
        <f>C90</f>
        <v>0</v>
      </c>
      <c r="H90" s="45">
        <v>1</v>
      </c>
      <c r="I90" s="45"/>
      <c r="J90" s="25">
        <f>IFERROR(I90/H90,0)</f>
        <v>0</v>
      </c>
      <c r="K90" s="26">
        <f>IF(J90&lt;M90,0,J90*$E90)</f>
        <v>0</v>
      </c>
      <c r="M90" s="45">
        <v>1</v>
      </c>
    </row>
    <row r="91" spans="2:13" ht="14.25" customHeight="1">
      <c r="B91" s="307"/>
      <c r="C91" s="28"/>
      <c r="D91" s="21">
        <v>7.0000000000000007E-2</v>
      </c>
      <c r="E91" s="22">
        <f>+D91*B88</f>
        <v>0</v>
      </c>
      <c r="F91" s="23"/>
      <c r="G91" s="28">
        <f>C91</f>
        <v>0</v>
      </c>
      <c r="H91" s="45">
        <v>1</v>
      </c>
      <c r="I91" s="45"/>
      <c r="J91" s="25">
        <f>IFERROR(I91/H91,0)</f>
        <v>0</v>
      </c>
      <c r="K91" s="26">
        <f>IF(J91&lt;M91,0,J91*$E91)</f>
        <v>0</v>
      </c>
      <c r="M91" s="45">
        <v>1</v>
      </c>
    </row>
    <row r="92" spans="2:13" ht="14.25" customHeight="1">
      <c r="B92" s="307"/>
      <c r="C92" s="28"/>
      <c r="D92" s="58">
        <v>0.11</v>
      </c>
      <c r="E92" s="22">
        <f>+D92*B88</f>
        <v>0</v>
      </c>
      <c r="F92" s="60"/>
      <c r="G92" s="28">
        <f>C92</f>
        <v>0</v>
      </c>
      <c r="H92" s="45">
        <v>1</v>
      </c>
      <c r="I92" s="45"/>
      <c r="J92" s="25">
        <f>IFERROR(I92/H92,0)</f>
        <v>0</v>
      </c>
      <c r="K92" s="26">
        <f>IF(J92&lt;M92,0,J92*$E92)</f>
        <v>0</v>
      </c>
      <c r="M92" s="45">
        <v>1</v>
      </c>
    </row>
    <row r="93" spans="2:13" ht="14.25" customHeight="1">
      <c r="B93" s="29"/>
      <c r="C93" s="30" t="s">
        <v>27</v>
      </c>
      <c r="D93" s="31">
        <f>SUM(D88:D92)</f>
        <v>0.99999999999999989</v>
      </c>
      <c r="E93" s="32">
        <f>SUM(E88:E92)</f>
        <v>0</v>
      </c>
      <c r="F93" s="23"/>
      <c r="G93" s="33"/>
      <c r="J93" s="34" t="s">
        <v>28</v>
      </c>
      <c r="K93" s="35">
        <f>SUM(K89:K92)</f>
        <v>0</v>
      </c>
      <c r="M93" s="61"/>
    </row>
    <row r="94" spans="2:13" ht="15" customHeight="1">
      <c r="F94" s="23"/>
    </row>
    <row r="95" spans="2:13" ht="15" customHeight="1">
      <c r="F95" s="23"/>
      <c r="J95" s="38" t="s">
        <v>29</v>
      </c>
      <c r="K95" s="39">
        <f>+K93+K88</f>
        <v>0</v>
      </c>
    </row>
    <row r="170" spans="14:17" ht="14.25" customHeight="1">
      <c r="N170" s="1">
        <v>3</v>
      </c>
      <c r="O170" s="1">
        <v>3.1</v>
      </c>
      <c r="P170" s="1">
        <f>+O170-N170</f>
        <v>0.10000000000000009</v>
      </c>
      <c r="Q170" s="1">
        <f>+P170/O170</f>
        <v>3.2258064516129059E-2</v>
      </c>
    </row>
    <row r="174" spans="14:17" ht="14.25" customHeight="1">
      <c r="P174" s="23">
        <f>2000*3*12</f>
        <v>72000</v>
      </c>
    </row>
    <row r="177" spans="16:16" ht="14.25" customHeight="1">
      <c r="P177" s="1">
        <f>2000*12</f>
        <v>24000</v>
      </c>
    </row>
  </sheetData>
  <mergeCells count="35">
    <mergeCell ref="B86:E86"/>
    <mergeCell ref="G86:K86"/>
    <mergeCell ref="B88:B92"/>
    <mergeCell ref="B67:E67"/>
    <mergeCell ref="G67:K67"/>
    <mergeCell ref="B69:B73"/>
    <mergeCell ref="C80:J80"/>
    <mergeCell ref="C82:D82"/>
    <mergeCell ref="G82:H82"/>
    <mergeCell ref="I82:J82"/>
    <mergeCell ref="B49:E49"/>
    <mergeCell ref="G49:K49"/>
    <mergeCell ref="B51:B54"/>
    <mergeCell ref="C61:J61"/>
    <mergeCell ref="C63:D63"/>
    <mergeCell ref="G63:H63"/>
    <mergeCell ref="I63:J63"/>
    <mergeCell ref="B30:E30"/>
    <mergeCell ref="C43:J43"/>
    <mergeCell ref="C45:D45"/>
    <mergeCell ref="G45:H45"/>
    <mergeCell ref="I45:J45"/>
    <mergeCell ref="B9:E9"/>
    <mergeCell ref="G9:K9"/>
    <mergeCell ref="B11:B15"/>
    <mergeCell ref="C24:J24"/>
    <mergeCell ref="C26:D26"/>
    <mergeCell ref="G26:H26"/>
    <mergeCell ref="I26:J26"/>
    <mergeCell ref="C1:I1"/>
    <mergeCell ref="C3:J3"/>
    <mergeCell ref="C5:D5"/>
    <mergeCell ref="E5:F5"/>
    <mergeCell ref="G5:H5"/>
    <mergeCell ref="I5:J5"/>
  </mergeCells>
  <conditionalFormatting sqref="J84">
    <cfRule type="iconSet" priority="2">
      <iconSet iconSet="3Arrows">
        <cfvo type="percent" val="0"/>
        <cfvo type="num" val="0"/>
        <cfvo type="num" val="0"/>
      </iconSet>
    </cfRule>
  </conditionalFormatting>
  <conditionalFormatting sqref="F84">
    <cfRule type="iconSet" priority="3">
      <iconSet iconSet="3Arrows">
        <cfvo type="percent" val="0"/>
        <cfvo type="num" val="0"/>
        <cfvo type="num" val="0"/>
      </iconSet>
    </cfRule>
  </conditionalFormatting>
  <conditionalFormatting sqref="J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5">
    <cfRule type="iconSet" priority="5">
      <iconSet iconSet="3Arrows">
        <cfvo type="percent" val="0"/>
        <cfvo type="num" val="0"/>
        <cfvo type="num" val="0"/>
      </iconSet>
    </cfRule>
  </conditionalFormatting>
  <conditionalFormatting sqref="J47">
    <cfRule type="iconSet" priority="6">
      <iconSet iconSet="3Arrows">
        <cfvo type="percent" val="0"/>
        <cfvo type="num" val="0"/>
        <cfvo type="num" val="0"/>
      </iconSet>
    </cfRule>
  </conditionalFormatting>
  <conditionalFormatting sqref="F47">
    <cfRule type="iconSet" priority="7">
      <iconSet iconSet="3Arrows">
        <cfvo type="percent" val="0"/>
        <cfvo type="num" val="0"/>
        <cfvo type="num" val="0"/>
      </iconSet>
    </cfRule>
  </conditionalFormatting>
  <conditionalFormatting sqref="J28">
    <cfRule type="iconSet" priority="8">
      <iconSet iconSet="3Arrows">
        <cfvo type="percent" val="0"/>
        <cfvo type="num" val="0"/>
        <cfvo type="num" val="0"/>
      </iconSet>
    </cfRule>
  </conditionalFormatting>
  <conditionalFormatting sqref="F28">
    <cfRule type="iconSet" priority="9">
      <iconSet iconSet="3Arrows">
        <cfvo type="percent" val="0"/>
        <cfvo type="num" val="0"/>
        <cfvo type="num" val="0"/>
      </iconSet>
    </cfRule>
  </conditionalFormatting>
  <conditionalFormatting sqref="J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7">
    <cfRule type="iconSet" priority="1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DD7EE"/>
    <pageSetUpPr fitToPage="1"/>
  </sheetPr>
  <dimension ref="A1:Q177"/>
  <sheetViews>
    <sheetView topLeftCell="B1" zoomScaleNormal="100" workbookViewId="0">
      <selection activeCell="F18" sqref="F18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4.17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45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1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46</v>
      </c>
      <c r="C7" s="11">
        <f>'ESSENTIA FEB'!O27</f>
        <v>149031.37349999999</v>
      </c>
      <c r="D7" s="11">
        <f>'ESSENTIA FEB'!N27</f>
        <v>134310.4039</v>
      </c>
      <c r="E7" s="11">
        <f>D7-C7</f>
        <v>-14720.969599999982</v>
      </c>
      <c r="F7" s="12">
        <f>D7/C7-1</f>
        <v>-9.8777655028456035E-2</v>
      </c>
      <c r="G7" s="13">
        <f>'ESSENTIA FEB'!G27</f>
        <v>4256404.3939537005</v>
      </c>
      <c r="H7" s="13">
        <f>'ESSENTIA FEB'!F27</f>
        <v>3799747.92</v>
      </c>
      <c r="I7" s="13">
        <f>H7-G7</f>
        <v>-456656.47395370062</v>
      </c>
      <c r="J7" s="12">
        <f>H7/G7-1</f>
        <v>-0.10728690972182753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12000</v>
      </c>
      <c r="C11" s="20" t="s">
        <v>22</v>
      </c>
      <c r="D11" s="21">
        <v>0.7</v>
      </c>
      <c r="E11" s="22">
        <f>B11*D11</f>
        <v>8400</v>
      </c>
      <c r="F11" s="23"/>
      <c r="G11" s="20" t="s">
        <v>22</v>
      </c>
      <c r="H11" s="24">
        <f>G7</f>
        <v>4256404.3939537005</v>
      </c>
      <c r="I11" s="24">
        <f>H7</f>
        <v>3799747.92</v>
      </c>
      <c r="J11" s="25">
        <f>IFERROR(I11/H11,0)</f>
        <v>0.89271309027817247</v>
      </c>
      <c r="K11" s="26">
        <f>IF(J11&lt;M11,0,J11*$E11)</f>
        <v>0</v>
      </c>
      <c r="M11" s="27">
        <v>0.9</v>
      </c>
    </row>
    <row r="12" spans="1:15" ht="14.25" customHeight="1">
      <c r="A12" s="2"/>
      <c r="B12" s="307"/>
      <c r="C12" s="28" t="s">
        <v>23</v>
      </c>
      <c r="D12" s="21">
        <v>0.12</v>
      </c>
      <c r="E12" s="22">
        <f>B11*D12</f>
        <v>1440</v>
      </c>
      <c r="F12" s="23"/>
      <c r="G12" s="28" t="str">
        <f>C12</f>
        <v>Cierre de 3 pedidos  1000 Kgcon clientes actuales de FMC</v>
      </c>
      <c r="H12" s="12">
        <v>1</v>
      </c>
      <c r="I12" s="12"/>
      <c r="J12" s="12">
        <f>I12/H12</f>
        <v>0</v>
      </c>
      <c r="K12" s="26">
        <f>IF(J12&lt;M12,0,J12*$E12)</f>
        <v>0</v>
      </c>
      <c r="M12" s="27">
        <v>0.8</v>
      </c>
    </row>
    <row r="13" spans="1:15" ht="14.25" customHeight="1">
      <c r="A13" s="2"/>
      <c r="B13" s="307"/>
      <c r="C13" s="28" t="s">
        <v>24</v>
      </c>
      <c r="D13" s="21">
        <v>0.05</v>
      </c>
      <c r="E13" s="22">
        <f>B$11*D$13</f>
        <v>600</v>
      </c>
      <c r="F13" s="23"/>
      <c r="G13" s="28" t="str">
        <f>C13</f>
        <v>Contar con calendario de pruebas inicios de año 2020</v>
      </c>
      <c r="H13" s="12">
        <v>1</v>
      </c>
      <c r="I13" s="12"/>
      <c r="J13" s="12">
        <f>I13/H13</f>
        <v>0</v>
      </c>
      <c r="K13" s="26">
        <f>IF(J13&lt;M13,0,J13*$E13)</f>
        <v>0</v>
      </c>
      <c r="M13" s="27">
        <v>1</v>
      </c>
    </row>
    <row r="14" spans="1:15" ht="14.25" customHeight="1">
      <c r="A14" s="2"/>
      <c r="B14" s="307"/>
      <c r="C14" s="28" t="s">
        <v>25</v>
      </c>
      <c r="D14" s="21">
        <v>0.05</v>
      </c>
      <c r="E14" s="22">
        <f>B$11*D$13</f>
        <v>600</v>
      </c>
      <c r="F14" s="23"/>
      <c r="G14" s="28" t="str">
        <f>C14</f>
        <v>Presentar estrategica por region Occidente 2020</v>
      </c>
      <c r="H14" s="12">
        <v>1</v>
      </c>
      <c r="I14" s="12"/>
      <c r="J14" s="12">
        <f>I14/H14</f>
        <v>0</v>
      </c>
      <c r="K14" s="26">
        <f>IF(J14&lt;M14,0,J14*$E14)</f>
        <v>0</v>
      </c>
      <c r="M14" s="27">
        <v>0.75</v>
      </c>
    </row>
    <row r="15" spans="1:15" ht="14.25" customHeight="1">
      <c r="A15" s="2"/>
      <c r="B15" s="307"/>
      <c r="C15" s="28" t="s">
        <v>26</v>
      </c>
      <c r="D15" s="21">
        <v>0.08</v>
      </c>
      <c r="E15" s="22">
        <f>B11*D15</f>
        <v>960</v>
      </c>
      <c r="F15" s="23"/>
      <c r="G15" s="28" t="str">
        <f>C15</f>
        <v xml:space="preserve">Presentar presupuesto lunes 6 de Diciembre </v>
      </c>
      <c r="H15" s="12">
        <v>1</v>
      </c>
      <c r="I15" s="12"/>
      <c r="J15" s="12">
        <f>I15/H15</f>
        <v>0</v>
      </c>
      <c r="K15" s="26">
        <f>IF(J15&lt;M15,0,J15*$E15)</f>
        <v>0</v>
      </c>
      <c r="M15" s="27">
        <v>0.75</v>
      </c>
    </row>
    <row r="16" spans="1:15" ht="14.25" customHeight="1">
      <c r="A16" s="2"/>
      <c r="B16" s="29"/>
      <c r="C16" s="30" t="s">
        <v>27</v>
      </c>
      <c r="D16" s="31">
        <f>SUM(D11:D15)</f>
        <v>1</v>
      </c>
      <c r="E16" s="32">
        <f>SUM(E11:E15)</f>
        <v>12000</v>
      </c>
      <c r="F16" s="23"/>
      <c r="G16" s="33"/>
      <c r="J16" s="34" t="s">
        <v>28</v>
      </c>
      <c r="K16" s="35">
        <f>SUM(K12:K15)</f>
        <v>0</v>
      </c>
      <c r="M16" s="36"/>
      <c r="N16" s="37"/>
    </row>
    <row r="17" spans="1:15" ht="15" customHeight="1">
      <c r="A17" s="2"/>
      <c r="F17" s="23"/>
      <c r="M17" s="36"/>
      <c r="N17" s="37"/>
    </row>
    <row r="18" spans="1:15" ht="15" customHeight="1">
      <c r="A18" s="2"/>
      <c r="F18" s="23"/>
      <c r="J18" s="38" t="s">
        <v>29</v>
      </c>
      <c r="K18" s="39">
        <f>+K16+K11</f>
        <v>0</v>
      </c>
    </row>
    <row r="19" spans="1:15" ht="14.25" customHeight="1">
      <c r="A19" s="2"/>
      <c r="F19" s="33"/>
    </row>
    <row r="20" spans="1:15" ht="14.25" customHeight="1">
      <c r="A20" s="2"/>
      <c r="F20" s="33"/>
      <c r="G20" s="40"/>
    </row>
    <row r="21" spans="1:15" ht="14.25" customHeight="1">
      <c r="A21" s="2"/>
      <c r="F21" s="33"/>
      <c r="G21" s="40"/>
    </row>
    <row r="23" spans="1:15" ht="15" customHeight="1"/>
    <row r="24" spans="1:15" ht="21" customHeight="1">
      <c r="C24" s="308" t="s">
        <v>30</v>
      </c>
      <c r="D24" s="308"/>
      <c r="E24" s="308"/>
      <c r="F24" s="308"/>
      <c r="G24" s="308"/>
      <c r="H24" s="308"/>
      <c r="I24" s="308"/>
      <c r="J24" s="308"/>
    </row>
    <row r="25" spans="1:15" ht="14.25" customHeight="1">
      <c r="A25" s="2"/>
      <c r="O25" s="3"/>
    </row>
    <row r="26" spans="1:15" ht="14.25" customHeight="1">
      <c r="A26" s="2"/>
      <c r="C26" s="303" t="s">
        <v>2</v>
      </c>
      <c r="D26" s="303"/>
      <c r="E26" s="4" t="s">
        <v>3</v>
      </c>
      <c r="F26" s="4"/>
      <c r="G26" s="303" t="s">
        <v>4</v>
      </c>
      <c r="H26" s="303"/>
      <c r="I26" s="304" t="s">
        <v>3</v>
      </c>
      <c r="J26" s="304"/>
    </row>
    <row r="27" spans="1:15" ht="14.25" customHeight="1">
      <c r="A27" s="2"/>
      <c r="B27" s="5" t="s">
        <v>5</v>
      </c>
      <c r="C27" s="6" t="s">
        <v>6</v>
      </c>
      <c r="D27" s="7" t="s">
        <v>7</v>
      </c>
      <c r="E27" s="8" t="s">
        <v>8</v>
      </c>
      <c r="F27" s="8" t="s">
        <v>9</v>
      </c>
      <c r="G27" s="6" t="s">
        <v>6</v>
      </c>
      <c r="H27" s="7" t="s">
        <v>7</v>
      </c>
      <c r="I27" s="8" t="s">
        <v>10</v>
      </c>
      <c r="J27" s="9" t="s">
        <v>9</v>
      </c>
    </row>
    <row r="28" spans="1:15" ht="14.25" customHeight="1">
      <c r="A28" s="2"/>
      <c r="B28" s="10" t="str">
        <f>$B$7</f>
        <v>FEBRERO</v>
      </c>
      <c r="C28" s="11">
        <f>'ESSENTIA FEB'!O28</f>
        <v>34839</v>
      </c>
      <c r="D28" s="11">
        <f>'ESSENTIA FEB'!N28</f>
        <v>29580.707900000001</v>
      </c>
      <c r="E28" s="11">
        <f>D28-C28</f>
        <v>-5258.2920999999988</v>
      </c>
      <c r="F28" s="12">
        <f>D28/C28-1</f>
        <v>-0.15093120066592036</v>
      </c>
      <c r="G28" s="13">
        <f>'ESSENTIA FEB'!G28</f>
        <v>2205545.3077799999</v>
      </c>
      <c r="H28" s="13">
        <f>'ESSENTIA FEB'!F28</f>
        <v>2144834.8199999998</v>
      </c>
      <c r="I28" s="13">
        <f>H28-G28</f>
        <v>-60710.487780000083</v>
      </c>
      <c r="J28" s="12">
        <f>H28/G28-1</f>
        <v>-2.7526293640781518E-2</v>
      </c>
    </row>
    <row r="29" spans="1:15" ht="14.25" customHeight="1">
      <c r="A29" s="2"/>
    </row>
    <row r="30" spans="1:15" ht="15" customHeight="1">
      <c r="A30" s="2"/>
      <c r="B30" s="305" t="s">
        <v>12</v>
      </c>
      <c r="C30" s="305"/>
      <c r="D30" s="305"/>
      <c r="E30" s="305"/>
      <c r="G30" s="15" t="s">
        <v>31</v>
      </c>
      <c r="H30" s="15"/>
      <c r="I30" s="15"/>
      <c r="J30" s="15"/>
      <c r="K30" s="15"/>
    </row>
    <row r="31" spans="1:15" ht="29.25" customHeight="1">
      <c r="A31" s="2"/>
      <c r="B31" s="9" t="s">
        <v>14</v>
      </c>
      <c r="C31" s="9" t="s">
        <v>15</v>
      </c>
      <c r="D31" s="16" t="s">
        <v>16</v>
      </c>
      <c r="E31" s="9" t="s">
        <v>17</v>
      </c>
      <c r="F31" s="19" t="s">
        <v>21</v>
      </c>
      <c r="G31" s="9" t="s">
        <v>15</v>
      </c>
      <c r="H31" s="18" t="s">
        <v>18</v>
      </c>
      <c r="I31" s="9" t="s">
        <v>19</v>
      </c>
      <c r="J31" s="9" t="s">
        <v>20</v>
      </c>
      <c r="K31" s="9" t="s">
        <v>14</v>
      </c>
      <c r="M31" s="9" t="s">
        <v>21</v>
      </c>
    </row>
    <row r="32" spans="1:15" ht="14.25" customHeight="1">
      <c r="A32" s="2"/>
      <c r="B32" s="41">
        <v>1000</v>
      </c>
      <c r="C32" s="42" t="s">
        <v>22</v>
      </c>
      <c r="D32" s="43">
        <f>E32/$B$37</f>
        <v>0.15384615384615385</v>
      </c>
      <c r="E32" s="44">
        <v>1000</v>
      </c>
      <c r="F32" s="45">
        <v>0.5</v>
      </c>
      <c r="G32" s="28" t="str">
        <f>C32</f>
        <v>Cumplimiento Presupuesto</v>
      </c>
      <c r="H32" s="41">
        <f>G28</f>
        <v>2205545.3077799999</v>
      </c>
      <c r="I32" s="41">
        <f>H28</f>
        <v>2144834.8199999998</v>
      </c>
      <c r="J32" s="45">
        <f>IFERROR(I32/H32,0)</f>
        <v>0.97247370635921848</v>
      </c>
      <c r="K32" s="26">
        <f>IF(J32&lt;M32,0,J32*$E32)</f>
        <v>972.47370635921845</v>
      </c>
      <c r="M32" s="45">
        <v>0.5</v>
      </c>
    </row>
    <row r="33" spans="1:13" ht="14.25" customHeight="1">
      <c r="A33" s="2"/>
      <c r="B33" s="41">
        <v>1000</v>
      </c>
      <c r="C33" s="42" t="s">
        <v>32</v>
      </c>
      <c r="D33" s="43">
        <f>E33/$B$37</f>
        <v>0.15384615384615385</v>
      </c>
      <c r="E33" s="44">
        <v>1000</v>
      </c>
      <c r="F33" s="45">
        <v>1</v>
      </c>
      <c r="G33" s="28" t="str">
        <f>C33</f>
        <v xml:space="preserve">Pruebas atorizadas por realizar con cliente </v>
      </c>
      <c r="H33" s="12">
        <v>1</v>
      </c>
      <c r="I33" s="41"/>
      <c r="J33" s="45">
        <f>IFERROR(I33/H33,0)</f>
        <v>0</v>
      </c>
      <c r="K33" s="26">
        <f>IF(J33&lt;M33,0,J33*$E33)</f>
        <v>0</v>
      </c>
      <c r="M33" s="45">
        <v>1</v>
      </c>
    </row>
    <row r="34" spans="1:13" ht="14.25" customHeight="1">
      <c r="A34" s="2"/>
      <c r="B34" s="41">
        <v>1500</v>
      </c>
      <c r="C34" s="20" t="s">
        <v>33</v>
      </c>
      <c r="D34" s="43">
        <f>E34/$B$37</f>
        <v>0.23076923076923078</v>
      </c>
      <c r="E34" s="44">
        <v>1500</v>
      </c>
      <c r="F34" s="45">
        <v>1</v>
      </c>
      <c r="G34" s="28" t="str">
        <f>C34</f>
        <v xml:space="preserve">Armado e implementación estrategia Baja California </v>
      </c>
      <c r="H34" s="12">
        <v>1</v>
      </c>
      <c r="I34" s="12"/>
      <c r="J34" s="45">
        <f>IFERROR(I34/H34,0)</f>
        <v>0</v>
      </c>
      <c r="K34" s="26">
        <f>IF(J34&lt;M34,0,J34*$E34)</f>
        <v>0</v>
      </c>
      <c r="M34" s="45">
        <v>1</v>
      </c>
    </row>
    <row r="35" spans="1:13" ht="14.25" customHeight="1">
      <c r="A35" s="2"/>
      <c r="B35" s="41">
        <v>1500</v>
      </c>
      <c r="C35" s="28" t="s">
        <v>34</v>
      </c>
      <c r="D35" s="43">
        <f>E35/$B$37</f>
        <v>0.23076923076923078</v>
      </c>
      <c r="E35" s="44">
        <v>1500</v>
      </c>
      <c r="F35" s="45">
        <v>0.75</v>
      </c>
      <c r="G35" s="28" t="str">
        <f>C35</f>
        <v>Presentar estrategica por región 2020</v>
      </c>
      <c r="H35" s="12">
        <v>1</v>
      </c>
      <c r="I35" s="12"/>
      <c r="J35" s="45">
        <f>IFERROR(I35/H35,0)</f>
        <v>0</v>
      </c>
      <c r="K35" s="26">
        <f>IF(J35&lt;M35,0,J35*$E35)</f>
        <v>0</v>
      </c>
      <c r="M35" s="45">
        <v>0.75</v>
      </c>
    </row>
    <row r="36" spans="1:13" ht="14.25" customHeight="1">
      <c r="A36" s="2"/>
      <c r="B36" s="41">
        <v>1500</v>
      </c>
      <c r="C36" s="28" t="s">
        <v>26</v>
      </c>
      <c r="D36" s="43">
        <f>E36/$B$37</f>
        <v>0.23076923076923078</v>
      </c>
      <c r="E36" s="44">
        <v>1500</v>
      </c>
      <c r="F36" s="45">
        <v>0.75</v>
      </c>
      <c r="G36" s="28" t="str">
        <f>C36</f>
        <v xml:space="preserve">Presentar presupuesto lunes 6 de Diciembre </v>
      </c>
      <c r="H36" s="12">
        <v>1</v>
      </c>
      <c r="I36" s="12"/>
      <c r="J36" s="45">
        <f>IFERROR(I36/H36,0)</f>
        <v>0</v>
      </c>
      <c r="K36" s="26">
        <f>IF(J36&lt;M36,0,J36*$E36)</f>
        <v>0</v>
      </c>
      <c r="M36" s="45">
        <v>0.75</v>
      </c>
    </row>
    <row r="37" spans="1:13" ht="14.25" customHeight="1">
      <c r="A37" s="2"/>
      <c r="B37" s="46">
        <f>SUM(B32:B36)</f>
        <v>6500</v>
      </c>
      <c r="C37" s="30" t="s">
        <v>27</v>
      </c>
      <c r="D37" s="47"/>
      <c r="E37" s="48">
        <f>SUM(E31:E36)</f>
        <v>6500</v>
      </c>
      <c r="F37" s="23"/>
      <c r="G37" s="33"/>
      <c r="I37" s="49"/>
      <c r="J37" s="34" t="s">
        <v>28</v>
      </c>
      <c r="K37" s="35">
        <f>SUM(K34:K34)</f>
        <v>0</v>
      </c>
    </row>
    <row r="38" spans="1:13" ht="15" customHeight="1">
      <c r="A38" s="2"/>
      <c r="C38" s="50"/>
      <c r="D38" s="51"/>
      <c r="E38" s="52"/>
      <c r="F38" s="23"/>
    </row>
    <row r="39" spans="1:13" ht="14.25" customHeight="1">
      <c r="A39" s="2"/>
      <c r="F39" s="23"/>
      <c r="J39" s="62" t="s">
        <v>29</v>
      </c>
      <c r="K39" s="63">
        <f>+K37+K32</f>
        <v>972.47370635921845</v>
      </c>
    </row>
    <row r="40" spans="1:13" ht="14.25" customHeight="1">
      <c r="A40" s="2"/>
      <c r="F40" s="33"/>
      <c r="J40" s="55"/>
      <c r="K40" s="22"/>
    </row>
    <row r="41" spans="1:13" ht="14.25" customHeight="1">
      <c r="F41" s="33"/>
    </row>
    <row r="42" spans="1:13" ht="15" customHeight="1"/>
    <row r="43" spans="1:13" ht="21" customHeight="1">
      <c r="C43" s="308" t="s">
        <v>37</v>
      </c>
      <c r="D43" s="308"/>
      <c r="E43" s="308"/>
      <c r="F43" s="308"/>
      <c r="G43" s="308"/>
      <c r="H43" s="308"/>
      <c r="I43" s="308"/>
      <c r="J43" s="308"/>
    </row>
    <row r="45" spans="1:13" ht="14.25" customHeight="1">
      <c r="C45" s="303" t="s">
        <v>2</v>
      </c>
      <c r="D45" s="303"/>
      <c r="E45" s="4" t="s">
        <v>3</v>
      </c>
      <c r="F45" s="4"/>
      <c r="G45" s="303" t="s">
        <v>4</v>
      </c>
      <c r="H45" s="303"/>
      <c r="I45" s="304" t="s">
        <v>3</v>
      </c>
      <c r="J45" s="304"/>
    </row>
    <row r="46" spans="1:13" ht="14.25" customHeight="1">
      <c r="B46" s="5" t="s">
        <v>5</v>
      </c>
      <c r="C46" s="6" t="s">
        <v>6</v>
      </c>
      <c r="D46" s="7" t="s">
        <v>7</v>
      </c>
      <c r="E46" s="8" t="s">
        <v>8</v>
      </c>
      <c r="F46" s="8" t="s">
        <v>9</v>
      </c>
      <c r="G46" s="6" t="s">
        <v>6</v>
      </c>
      <c r="H46" s="7" t="s">
        <v>7</v>
      </c>
      <c r="I46" s="8" t="s">
        <v>10</v>
      </c>
      <c r="J46" s="9" t="s">
        <v>9</v>
      </c>
    </row>
    <row r="47" spans="1:13" ht="14.25" customHeight="1">
      <c r="B47" s="10" t="str">
        <f>$B$7</f>
        <v>FEBRERO</v>
      </c>
      <c r="C47" s="11">
        <f>'ESSENTIA FEB'!O32</f>
        <v>24032.929199999999</v>
      </c>
      <c r="D47" s="11">
        <f>'ESSENTIA FEB'!N32</f>
        <v>27953.524000000001</v>
      </c>
      <c r="E47" s="11">
        <f>D47-C47</f>
        <v>3920.5948000000026</v>
      </c>
      <c r="F47" s="12">
        <f>D47/C47-1</f>
        <v>0.16313428826645082</v>
      </c>
      <c r="G47" s="13">
        <f>'ESSENTIA FEB'!G32</f>
        <v>1288812.3515371</v>
      </c>
      <c r="H47" s="13">
        <f>'ESSENTIA FEB'!F32</f>
        <v>1575484.45</v>
      </c>
      <c r="I47" s="13">
        <f>H47-G47</f>
        <v>286672.09846289991</v>
      </c>
      <c r="J47" s="12">
        <f>H47/G47-1</f>
        <v>0.222431215933802</v>
      </c>
    </row>
    <row r="49" spans="2:13" ht="14.25" customHeight="1">
      <c r="B49" s="305" t="s">
        <v>12</v>
      </c>
      <c r="C49" s="305"/>
      <c r="D49" s="305"/>
      <c r="E49" s="305"/>
      <c r="G49" s="306" t="s">
        <v>13</v>
      </c>
      <c r="H49" s="306"/>
      <c r="I49" s="306"/>
      <c r="J49" s="306"/>
      <c r="K49" s="306"/>
    </row>
    <row r="50" spans="2:13" ht="14.25" customHeight="1">
      <c r="B50" s="9" t="s">
        <v>14</v>
      </c>
      <c r="C50" s="9" t="s">
        <v>15</v>
      </c>
      <c r="D50" s="16" t="s">
        <v>16</v>
      </c>
      <c r="E50" s="9" t="s">
        <v>17</v>
      </c>
      <c r="F50" s="14"/>
      <c r="G50" s="9" t="s">
        <v>15</v>
      </c>
      <c r="H50" s="18" t="s">
        <v>18</v>
      </c>
      <c r="I50" s="9" t="s">
        <v>19</v>
      </c>
      <c r="J50" s="9" t="s">
        <v>20</v>
      </c>
      <c r="K50" s="9" t="s">
        <v>14</v>
      </c>
    </row>
    <row r="51" spans="2:13" ht="14.25" customHeight="1">
      <c r="B51" s="309">
        <v>7000</v>
      </c>
      <c r="C51" s="20" t="s">
        <v>22</v>
      </c>
      <c r="D51" s="58">
        <v>0.5</v>
      </c>
      <c r="E51" s="26">
        <f>B51*D51</f>
        <v>3500</v>
      </c>
      <c r="F51" s="17"/>
      <c r="G51" s="28" t="str">
        <f>C51</f>
        <v>Cumplimiento Presupuesto</v>
      </c>
      <c r="H51" s="41">
        <f>G47</f>
        <v>1288812.3515371</v>
      </c>
      <c r="I51" s="41">
        <f>H47</f>
        <v>1575484.45</v>
      </c>
      <c r="J51" s="45">
        <f>IFERROR(I51/H51,0)</f>
        <v>1.222431215933802</v>
      </c>
      <c r="K51" s="26">
        <f>IF(J51&lt;M52,0,J51*$E51)</f>
        <v>4278.5092557683074</v>
      </c>
      <c r="M51" s="9" t="s">
        <v>21</v>
      </c>
    </row>
    <row r="52" spans="2:13" ht="21" customHeight="1">
      <c r="B52" s="309"/>
      <c r="C52" s="20" t="s">
        <v>38</v>
      </c>
      <c r="D52" s="58">
        <v>0.2</v>
      </c>
      <c r="E52" s="26">
        <f>B51*D52</f>
        <v>1400</v>
      </c>
      <c r="F52" s="23"/>
      <c r="G52" s="28" t="str">
        <f>C52</f>
        <v xml:space="preserve">Aplicación de pruebas unidades de chorizo </v>
      </c>
      <c r="H52" s="45">
        <v>1</v>
      </c>
      <c r="I52" s="45"/>
      <c r="J52" s="25">
        <f>IFERROR(I52/H52,0)</f>
        <v>0</v>
      </c>
      <c r="K52" s="26">
        <f>IF(J52&lt;M53,0,J52*$E52)</f>
        <v>0</v>
      </c>
      <c r="M52" s="45">
        <v>0.95</v>
      </c>
    </row>
    <row r="53" spans="2:13" ht="14.25" customHeight="1">
      <c r="B53" s="309"/>
      <c r="C53" s="28" t="s">
        <v>39</v>
      </c>
      <c r="D53" s="58">
        <v>0.2</v>
      </c>
      <c r="E53" s="26">
        <f>B51*D53</f>
        <v>1400</v>
      </c>
      <c r="F53" s="23"/>
      <c r="G53" s="28" t="str">
        <f>C53</f>
        <v xml:space="preserve">Prospectación </v>
      </c>
      <c r="H53" s="45">
        <v>1</v>
      </c>
      <c r="I53" s="45"/>
      <c r="J53" s="25">
        <f>IFERROR(I53/H53,0)</f>
        <v>0</v>
      </c>
      <c r="K53" s="26">
        <f>IF(J53&lt;M54,0,J53*$E53)</f>
        <v>0</v>
      </c>
      <c r="M53" s="45">
        <v>0.75</v>
      </c>
    </row>
    <row r="54" spans="2:13" ht="14.25" customHeight="1">
      <c r="B54" s="309"/>
      <c r="C54" s="28" t="s">
        <v>40</v>
      </c>
      <c r="D54" s="21">
        <v>0.1</v>
      </c>
      <c r="E54" s="22">
        <f>+D54*B51</f>
        <v>700</v>
      </c>
      <c r="F54" s="23"/>
      <c r="G54" s="28" t="str">
        <f>C54</f>
        <v xml:space="preserve">Cierre de venta con productos nuevos AGR </v>
      </c>
      <c r="H54" s="45">
        <v>1</v>
      </c>
      <c r="I54" s="45"/>
      <c r="J54" s="25">
        <f>IFERROR(I54/H54,0)</f>
        <v>0</v>
      </c>
      <c r="K54" s="26">
        <f>IF(J54&lt;M55,0,J54*$E54)</f>
        <v>0</v>
      </c>
      <c r="M54" s="45">
        <v>0.75</v>
      </c>
    </row>
    <row r="55" spans="2:13" ht="14.25" customHeight="1">
      <c r="C55" s="30" t="s">
        <v>27</v>
      </c>
      <c r="D55" s="47">
        <f>SUM(D51:D54)</f>
        <v>0.99999999999999989</v>
      </c>
      <c r="E55" s="32">
        <f>SUM(E51:E54)</f>
        <v>7000</v>
      </c>
      <c r="F55" s="23"/>
      <c r="G55" s="33"/>
      <c r="I55" s="49"/>
      <c r="J55" s="34" t="s">
        <v>28</v>
      </c>
      <c r="K55" s="35">
        <f>SUM(K52:K54)</f>
        <v>0</v>
      </c>
      <c r="M55" s="45">
        <v>0.75</v>
      </c>
    </row>
    <row r="56" spans="2:13" ht="15" customHeight="1">
      <c r="F56" s="23"/>
    </row>
    <row r="57" spans="2:13" ht="15" customHeight="1">
      <c r="F57" s="23"/>
      <c r="J57" s="38" t="s">
        <v>29</v>
      </c>
      <c r="K57" s="39">
        <f>+K55+K51</f>
        <v>4278.5092557683074</v>
      </c>
    </row>
    <row r="58" spans="2:13" ht="14.25" customHeight="1">
      <c r="F58" s="23"/>
      <c r="G58" s="40"/>
    </row>
    <row r="59" spans="2:13" ht="14.25" customHeight="1">
      <c r="F59" s="23"/>
    </row>
    <row r="60" spans="2:13" ht="15" customHeight="1"/>
    <row r="61" spans="2:13" ht="21" customHeight="1">
      <c r="C61" s="308" t="s">
        <v>41</v>
      </c>
      <c r="D61" s="308"/>
      <c r="E61" s="308"/>
      <c r="F61" s="308"/>
      <c r="G61" s="308"/>
      <c r="H61" s="308"/>
      <c r="I61" s="308"/>
      <c r="J61" s="308"/>
    </row>
    <row r="63" spans="2:13" ht="14.25" customHeight="1">
      <c r="C63" s="303" t="s">
        <v>2</v>
      </c>
      <c r="D63" s="303"/>
      <c r="E63" s="4" t="s">
        <v>3</v>
      </c>
      <c r="F63" s="4"/>
      <c r="G63" s="303" t="s">
        <v>4</v>
      </c>
      <c r="H63" s="303"/>
      <c r="I63" s="304" t="s">
        <v>3</v>
      </c>
      <c r="J63" s="304"/>
    </row>
    <row r="64" spans="2:13" ht="14.25" customHeight="1">
      <c r="B64" s="5" t="s">
        <v>5</v>
      </c>
      <c r="C64" s="6" t="s">
        <v>6</v>
      </c>
      <c r="D64" s="7" t="s">
        <v>7</v>
      </c>
      <c r="E64" s="8" t="s">
        <v>8</v>
      </c>
      <c r="F64" s="8" t="s">
        <v>9</v>
      </c>
      <c r="G64" s="6" t="s">
        <v>6</v>
      </c>
      <c r="H64" s="7" t="s">
        <v>7</v>
      </c>
      <c r="I64" s="8" t="s">
        <v>10</v>
      </c>
      <c r="J64" s="9" t="s">
        <v>9</v>
      </c>
    </row>
    <row r="65" spans="2:14" ht="14.25" customHeight="1">
      <c r="B65" s="10" t="str">
        <f>$B$7</f>
        <v>FEBRERO</v>
      </c>
      <c r="C65" s="11">
        <f>'ESSENTIA FEB'!O31</f>
        <v>92409.671799999996</v>
      </c>
      <c r="D65" s="11">
        <f>'ESSENTIA FEB'!N31</f>
        <v>71398.03</v>
      </c>
      <c r="E65" s="11">
        <f>D65-C65</f>
        <v>-21011.641799999998</v>
      </c>
      <c r="F65" s="12">
        <f>D65/C65-1</f>
        <v>-0.22737492072772403</v>
      </c>
      <c r="G65" s="13">
        <f>'ESSENTIA FEB'!G31</f>
        <v>2361039.834092</v>
      </c>
      <c r="H65" s="13">
        <f>'ESSENTIA FEB'!F31</f>
        <v>2450819.7400000002</v>
      </c>
      <c r="I65" s="13">
        <f>H65-G65</f>
        <v>89779.90590800019</v>
      </c>
      <c r="J65" s="12">
        <f>H65/G65-1</f>
        <v>3.8025578650403125E-2</v>
      </c>
    </row>
    <row r="67" spans="2:14" ht="15" customHeight="1">
      <c r="B67" s="305" t="s">
        <v>12</v>
      </c>
      <c r="C67" s="305"/>
      <c r="D67" s="305"/>
      <c r="E67" s="305"/>
      <c r="F67" s="14"/>
      <c r="G67" s="306" t="s">
        <v>13</v>
      </c>
      <c r="H67" s="306"/>
      <c r="I67" s="306"/>
      <c r="J67" s="306"/>
      <c r="K67" s="306"/>
    </row>
    <row r="68" spans="2:14" ht="14.25" customHeight="1">
      <c r="B68" s="9" t="s">
        <v>14</v>
      </c>
      <c r="C68" s="9" t="s">
        <v>15</v>
      </c>
      <c r="D68" s="16" t="s">
        <v>16</v>
      </c>
      <c r="E68" s="9" t="s">
        <v>17</v>
      </c>
      <c r="F68" s="17"/>
      <c r="G68" s="9" t="s">
        <v>15</v>
      </c>
      <c r="H68" s="18" t="s">
        <v>18</v>
      </c>
      <c r="I68" s="9" t="s">
        <v>19</v>
      </c>
      <c r="J68" s="9" t="s">
        <v>20</v>
      </c>
      <c r="K68" s="9" t="s">
        <v>14</v>
      </c>
      <c r="M68" s="9" t="s">
        <v>21</v>
      </c>
    </row>
    <row r="69" spans="2:14" ht="14.25" customHeight="1">
      <c r="B69" s="307">
        <v>10000</v>
      </c>
      <c r="C69" s="20" t="s">
        <v>22</v>
      </c>
      <c r="D69" s="21">
        <v>0.6</v>
      </c>
      <c r="E69" s="22">
        <f>+D69*B69</f>
        <v>6000</v>
      </c>
      <c r="F69" s="23"/>
      <c r="G69" s="28" t="str">
        <f>C69</f>
        <v>Cumplimiento Presupuesto</v>
      </c>
      <c r="H69" s="24">
        <f>G65</f>
        <v>2361039.834092</v>
      </c>
      <c r="I69" s="41">
        <f>H65</f>
        <v>2450819.7400000002</v>
      </c>
      <c r="J69" s="25">
        <f>IFERROR(I69/H69,0)</f>
        <v>1.0380255786504031</v>
      </c>
      <c r="K69" s="26">
        <f>IF(J69&lt;M69,0,J69*$E69)</f>
        <v>6228.1534719024185</v>
      </c>
      <c r="M69" s="45">
        <v>0.8</v>
      </c>
    </row>
    <row r="70" spans="2:14" ht="14.25" customHeight="1">
      <c r="B70" s="307"/>
      <c r="C70" s="28" t="s">
        <v>42</v>
      </c>
      <c r="D70" s="21">
        <v>0.1</v>
      </c>
      <c r="E70" s="22">
        <f>B69*D70</f>
        <v>1000</v>
      </c>
      <c r="F70" s="23"/>
      <c r="G70" s="28" t="str">
        <f>C70</f>
        <v>Cierre de 3 pedidos  300 Kgcon clientes actuales de FMC</v>
      </c>
      <c r="H70" s="45">
        <v>1</v>
      </c>
      <c r="I70" s="59"/>
      <c r="J70" s="45">
        <f>I70/H70</f>
        <v>0</v>
      </c>
      <c r="K70" s="26">
        <f>IF(J70&lt;M70,0,J70*$E70)</f>
        <v>0</v>
      </c>
      <c r="M70" s="27">
        <v>0.8</v>
      </c>
      <c r="N70" s="34"/>
    </row>
    <row r="71" spans="2:14" ht="30" customHeight="1">
      <c r="B71" s="307"/>
      <c r="C71" s="28" t="s">
        <v>24</v>
      </c>
      <c r="D71" s="21">
        <v>0.12</v>
      </c>
      <c r="E71" s="22">
        <f>+D71*B69</f>
        <v>1200</v>
      </c>
      <c r="F71" s="23"/>
      <c r="G71" s="28" t="str">
        <f>C71</f>
        <v>Contar con calendario de pruebas inicios de año 2020</v>
      </c>
      <c r="H71" s="45">
        <v>1</v>
      </c>
      <c r="I71" s="45"/>
      <c r="J71" s="25">
        <f>IFERROR(I71/H71,0)</f>
        <v>0</v>
      </c>
      <c r="K71" s="26">
        <f>IF(J71&lt;M71,0,J71*$E71)</f>
        <v>0</v>
      </c>
      <c r="M71" s="45">
        <v>1</v>
      </c>
    </row>
    <row r="72" spans="2:14" ht="30" customHeight="1">
      <c r="B72" s="307"/>
      <c r="C72" s="28" t="s">
        <v>43</v>
      </c>
      <c r="D72" s="21">
        <v>7.0000000000000007E-2</v>
      </c>
      <c r="E72" s="22">
        <f>+D72*B69</f>
        <v>700.00000000000011</v>
      </c>
      <c r="F72" s="23"/>
      <c r="G72" s="28" t="str">
        <f>C72</f>
        <v>Presentar estrategica por region  2020</v>
      </c>
      <c r="H72" s="45">
        <v>1</v>
      </c>
      <c r="I72" s="45"/>
      <c r="J72" s="25">
        <f>IFERROR(I72/H72,0)</f>
        <v>0</v>
      </c>
      <c r="K72" s="26">
        <f>IF(J72&lt;M72,0,J72*$E72)</f>
        <v>0</v>
      </c>
      <c r="M72" s="45">
        <v>1</v>
      </c>
    </row>
    <row r="73" spans="2:14" ht="14.25" customHeight="1">
      <c r="B73" s="307"/>
      <c r="C73" s="28" t="s">
        <v>26</v>
      </c>
      <c r="D73" s="58">
        <v>0.11</v>
      </c>
      <c r="E73" s="22">
        <f>+D73*B69</f>
        <v>1100</v>
      </c>
      <c r="F73" s="60"/>
      <c r="G73" s="28" t="str">
        <f>C73</f>
        <v xml:space="preserve">Presentar presupuesto lunes 6 de Diciembre </v>
      </c>
      <c r="H73" s="45">
        <v>1</v>
      </c>
      <c r="I73" s="45"/>
      <c r="J73" s="25">
        <f>IFERROR(I73/H73,0)</f>
        <v>0</v>
      </c>
      <c r="K73" s="26">
        <f>IF(J73&lt;M73,0,J73*$E73)</f>
        <v>0</v>
      </c>
      <c r="M73" s="45">
        <v>1</v>
      </c>
    </row>
    <row r="74" spans="2:14" ht="14.25" customHeight="1">
      <c r="B74" s="29"/>
      <c r="C74" s="30" t="s">
        <v>27</v>
      </c>
      <c r="D74" s="31">
        <f>SUM(D69:D73)</f>
        <v>0.99999999999999989</v>
      </c>
      <c r="E74" s="32">
        <f>SUM(E69:E73)</f>
        <v>10000</v>
      </c>
      <c r="F74" s="23"/>
      <c r="G74" s="33"/>
      <c r="J74" s="34" t="s">
        <v>28</v>
      </c>
      <c r="K74" s="35">
        <f>SUM(K70:K73)</f>
        <v>0</v>
      </c>
      <c r="M74" s="61"/>
    </row>
    <row r="75" spans="2:14" ht="15" customHeight="1">
      <c r="F75" s="23"/>
    </row>
    <row r="76" spans="2:14" ht="15" customHeight="1">
      <c r="F76" s="23"/>
      <c r="J76" s="38" t="s">
        <v>29</v>
      </c>
      <c r="K76" s="39">
        <f>+K74+K69</f>
        <v>6228.1534719024185</v>
      </c>
    </row>
    <row r="77" spans="2:14" ht="14.25" customHeight="1">
      <c r="F77" s="23"/>
    </row>
    <row r="79" spans="2:14" ht="15" customHeight="1"/>
    <row r="80" spans="2:14" ht="21" customHeight="1">
      <c r="C80" s="308" t="s">
        <v>47</v>
      </c>
      <c r="D80" s="308"/>
      <c r="E80" s="308"/>
      <c r="F80" s="308"/>
      <c r="G80" s="308"/>
      <c r="H80" s="308"/>
      <c r="I80" s="308"/>
      <c r="J80" s="308"/>
    </row>
    <row r="82" spans="2:13" ht="14.25" customHeight="1">
      <c r="C82" s="303" t="s">
        <v>2</v>
      </c>
      <c r="D82" s="303"/>
      <c r="E82" s="4" t="s">
        <v>3</v>
      </c>
      <c r="F82" s="4"/>
      <c r="G82" s="303" t="s">
        <v>4</v>
      </c>
      <c r="H82" s="303"/>
      <c r="I82" s="304" t="s">
        <v>3</v>
      </c>
      <c r="J82" s="304"/>
    </row>
    <row r="83" spans="2:13" ht="14.25" customHeight="1">
      <c r="B83" s="5" t="s">
        <v>5</v>
      </c>
      <c r="C83" s="6" t="s">
        <v>6</v>
      </c>
      <c r="D83" s="7" t="s">
        <v>7</v>
      </c>
      <c r="E83" s="8" t="s">
        <v>8</v>
      </c>
      <c r="F83" s="8" t="s">
        <v>9</v>
      </c>
      <c r="G83" s="6" t="s">
        <v>6</v>
      </c>
      <c r="H83" s="7" t="s">
        <v>7</v>
      </c>
      <c r="I83" s="8" t="s">
        <v>10</v>
      </c>
      <c r="J83" s="9" t="s">
        <v>9</v>
      </c>
    </row>
    <row r="84" spans="2:13" ht="14.25" customHeight="1">
      <c r="B84" s="10" t="str">
        <f>$B$7</f>
        <v>FEBRERO</v>
      </c>
      <c r="C84" s="11">
        <f>'ESSENTIA FEB'!O29</f>
        <v>71343.08</v>
      </c>
      <c r="D84" s="11">
        <f>'ESSENTIA FEB'!N29</f>
        <v>49576.13</v>
      </c>
      <c r="E84" s="11">
        <f>D84-C84</f>
        <v>-21766.950000000004</v>
      </c>
      <c r="F84" s="12">
        <f>D84/C84-1</f>
        <v>-0.305102471045545</v>
      </c>
      <c r="G84" s="13">
        <f>'ESSENTIA FEB'!G29</f>
        <v>2132270.2999648</v>
      </c>
      <c r="H84" s="13">
        <f>'ESSENTIA FEB'!F29</f>
        <v>1586906.97</v>
      </c>
      <c r="I84" s="13">
        <f>H84-G84</f>
        <v>-545363.32996480004</v>
      </c>
      <c r="J84" s="12">
        <f>H84/G84-1</f>
        <v>-0.25576650857717387</v>
      </c>
    </row>
    <row r="86" spans="2:13" ht="14.25" customHeight="1">
      <c r="B86" s="305" t="s">
        <v>12</v>
      </c>
      <c r="C86" s="305"/>
      <c r="D86" s="305"/>
      <c r="E86" s="305"/>
      <c r="F86" s="14"/>
      <c r="G86" s="306" t="s">
        <v>13</v>
      </c>
      <c r="H86" s="306"/>
      <c r="I86" s="306"/>
      <c r="J86" s="306"/>
      <c r="K86" s="306"/>
    </row>
    <row r="87" spans="2:13" ht="14.25" customHeight="1">
      <c r="B87" s="9" t="s">
        <v>14</v>
      </c>
      <c r="C87" s="9" t="s">
        <v>15</v>
      </c>
      <c r="D87" s="16" t="s">
        <v>16</v>
      </c>
      <c r="E87" s="9" t="s">
        <v>17</v>
      </c>
      <c r="F87" s="17"/>
      <c r="G87" s="9" t="s">
        <v>15</v>
      </c>
      <c r="H87" s="18" t="s">
        <v>18</v>
      </c>
      <c r="I87" s="9" t="s">
        <v>19</v>
      </c>
      <c r="J87" s="9" t="s">
        <v>20</v>
      </c>
      <c r="K87" s="9" t="s">
        <v>14</v>
      </c>
      <c r="M87" s="9" t="s">
        <v>21</v>
      </c>
    </row>
    <row r="88" spans="2:13" ht="14.25" customHeight="1">
      <c r="B88" s="307"/>
      <c r="C88" s="20" t="s">
        <v>22</v>
      </c>
      <c r="D88" s="21">
        <v>1</v>
      </c>
      <c r="E88" s="22">
        <f>+D88*B88</f>
        <v>0</v>
      </c>
      <c r="F88" s="23"/>
      <c r="G88" s="28" t="str">
        <f>C88</f>
        <v>Cumplimiento Presupuesto</v>
      </c>
      <c r="H88" s="24">
        <f>G84</f>
        <v>2132270.2999648</v>
      </c>
      <c r="I88" s="41">
        <f>H84</f>
        <v>1586906.97</v>
      </c>
      <c r="J88" s="25">
        <f>IFERROR(I88/H88,0)</f>
        <v>0.74423349142282613</v>
      </c>
      <c r="K88" s="26">
        <f>IF(J88&lt;M88,0,J88*$E88)</f>
        <v>0</v>
      </c>
      <c r="M88" s="45">
        <v>0.8</v>
      </c>
    </row>
    <row r="89" spans="2:13" ht="14.25" customHeight="1">
      <c r="B89" s="307"/>
      <c r="C89" s="28"/>
      <c r="D89" s="21"/>
      <c r="E89" s="22">
        <f>B88*D89</f>
        <v>0</v>
      </c>
      <c r="F89" s="23"/>
      <c r="G89" s="28">
        <f>C89</f>
        <v>0</v>
      </c>
      <c r="H89" s="45">
        <v>1</v>
      </c>
      <c r="I89" s="59"/>
      <c r="J89" s="45">
        <f>I89/H89</f>
        <v>0</v>
      </c>
      <c r="K89" s="26">
        <f>IF(J89&lt;M89,0,J89*$E89)</f>
        <v>0</v>
      </c>
      <c r="M89" s="27">
        <v>0.8</v>
      </c>
    </row>
    <row r="90" spans="2:13" ht="14.25" customHeight="1">
      <c r="B90" s="307"/>
      <c r="C90" s="28"/>
      <c r="D90" s="21"/>
      <c r="E90" s="22">
        <f>+D90*B88</f>
        <v>0</v>
      </c>
      <c r="F90" s="23"/>
      <c r="G90" s="28">
        <f>C90</f>
        <v>0</v>
      </c>
      <c r="H90" s="45">
        <v>1</v>
      </c>
      <c r="I90" s="45"/>
      <c r="J90" s="25">
        <f>IFERROR(I90/H90,0)</f>
        <v>0</v>
      </c>
      <c r="K90" s="26">
        <f>IF(J90&lt;M90,0,J90*$E90)</f>
        <v>0</v>
      </c>
      <c r="M90" s="45">
        <v>1</v>
      </c>
    </row>
    <row r="91" spans="2:13" ht="14.25" customHeight="1">
      <c r="B91" s="307"/>
      <c r="C91" s="28"/>
      <c r="D91" s="21"/>
      <c r="E91" s="22">
        <f>+D91*B88</f>
        <v>0</v>
      </c>
      <c r="F91" s="23"/>
      <c r="G91" s="28">
        <f>C91</f>
        <v>0</v>
      </c>
      <c r="H91" s="45">
        <v>1</v>
      </c>
      <c r="I91" s="45"/>
      <c r="J91" s="25">
        <f>IFERROR(I91/H91,0)</f>
        <v>0</v>
      </c>
      <c r="K91" s="26">
        <f>IF(J91&lt;M91,0,J91*$E91)</f>
        <v>0</v>
      </c>
      <c r="M91" s="45">
        <v>1</v>
      </c>
    </row>
    <row r="92" spans="2:13" ht="14.25" customHeight="1">
      <c r="B92" s="307"/>
      <c r="C92" s="28"/>
      <c r="D92" s="58"/>
      <c r="E92" s="22">
        <f>+D92*B88</f>
        <v>0</v>
      </c>
      <c r="F92" s="60"/>
      <c r="G92" s="28">
        <f>C92</f>
        <v>0</v>
      </c>
      <c r="H92" s="45">
        <v>1</v>
      </c>
      <c r="I92" s="45"/>
      <c r="J92" s="25">
        <f>IFERROR(I92/H92,0)</f>
        <v>0</v>
      </c>
      <c r="K92" s="26">
        <f>IF(J92&lt;M92,0,J92*$E92)</f>
        <v>0</v>
      </c>
      <c r="M92" s="45">
        <v>1</v>
      </c>
    </row>
    <row r="93" spans="2:13" ht="14.25" customHeight="1">
      <c r="B93" s="29"/>
      <c r="C93" s="30" t="s">
        <v>27</v>
      </c>
      <c r="D93" s="31">
        <f>SUM(D88:D92)</f>
        <v>1</v>
      </c>
      <c r="E93" s="32">
        <f>SUM(E88:E92)</f>
        <v>0</v>
      </c>
      <c r="F93" s="23"/>
      <c r="G93" s="33"/>
      <c r="J93" s="34" t="s">
        <v>28</v>
      </c>
      <c r="K93" s="35">
        <f>SUM(K89:K92)</f>
        <v>0</v>
      </c>
      <c r="M93" s="61"/>
    </row>
    <row r="94" spans="2:13" ht="15" customHeight="1">
      <c r="F94" s="23"/>
    </row>
    <row r="95" spans="2:13" ht="15" customHeight="1">
      <c r="F95" s="23"/>
      <c r="J95" s="38" t="s">
        <v>29</v>
      </c>
      <c r="K95" s="39">
        <f>+K93+K88</f>
        <v>0</v>
      </c>
    </row>
    <row r="170" spans="14:17" ht="14.25" customHeight="1">
      <c r="N170" s="1">
        <v>3</v>
      </c>
      <c r="O170" s="1">
        <v>3.1</v>
      </c>
      <c r="P170" s="1">
        <f>+O170-N170</f>
        <v>0.10000000000000009</v>
      </c>
      <c r="Q170" s="1">
        <f>+P170/O170</f>
        <v>3.2258064516129059E-2</v>
      </c>
    </row>
    <row r="174" spans="14:17" ht="14.25" customHeight="1">
      <c r="P174" s="23">
        <f>2000*3*12</f>
        <v>72000</v>
      </c>
    </row>
    <row r="177" spans="16:16" ht="14.25" customHeight="1">
      <c r="P177" s="1">
        <f>2000*12</f>
        <v>24000</v>
      </c>
    </row>
  </sheetData>
  <mergeCells count="35">
    <mergeCell ref="B86:E86"/>
    <mergeCell ref="G86:K86"/>
    <mergeCell ref="B88:B92"/>
    <mergeCell ref="B67:E67"/>
    <mergeCell ref="G67:K67"/>
    <mergeCell ref="B69:B73"/>
    <mergeCell ref="C80:J80"/>
    <mergeCell ref="C82:D82"/>
    <mergeCell ref="G82:H82"/>
    <mergeCell ref="I82:J82"/>
    <mergeCell ref="B49:E49"/>
    <mergeCell ref="G49:K49"/>
    <mergeCell ref="B51:B54"/>
    <mergeCell ref="C61:J61"/>
    <mergeCell ref="C63:D63"/>
    <mergeCell ref="G63:H63"/>
    <mergeCell ref="I63:J63"/>
    <mergeCell ref="B30:E30"/>
    <mergeCell ref="C43:J43"/>
    <mergeCell ref="C45:D45"/>
    <mergeCell ref="G45:H45"/>
    <mergeCell ref="I45:J45"/>
    <mergeCell ref="B9:E9"/>
    <mergeCell ref="G9:K9"/>
    <mergeCell ref="B11:B15"/>
    <mergeCell ref="C24:J24"/>
    <mergeCell ref="C26:D26"/>
    <mergeCell ref="G26:H26"/>
    <mergeCell ref="I26:J26"/>
    <mergeCell ref="C1:I1"/>
    <mergeCell ref="C3:J3"/>
    <mergeCell ref="C5:D5"/>
    <mergeCell ref="E5:F5"/>
    <mergeCell ref="G5:H5"/>
    <mergeCell ref="I5:J5"/>
  </mergeCells>
  <conditionalFormatting sqref="J84">
    <cfRule type="iconSet" priority="2">
      <iconSet iconSet="3Arrows">
        <cfvo type="percent" val="0"/>
        <cfvo type="num" val="0"/>
        <cfvo type="num" val="0"/>
      </iconSet>
    </cfRule>
  </conditionalFormatting>
  <conditionalFormatting sqref="F84">
    <cfRule type="iconSet" priority="3">
      <iconSet iconSet="3Arrows">
        <cfvo type="percent" val="0"/>
        <cfvo type="num" val="0"/>
        <cfvo type="num" val="0"/>
      </iconSet>
    </cfRule>
  </conditionalFormatting>
  <conditionalFormatting sqref="J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5">
    <cfRule type="iconSet" priority="5">
      <iconSet iconSet="3Arrows">
        <cfvo type="percent" val="0"/>
        <cfvo type="num" val="0"/>
        <cfvo type="num" val="0"/>
      </iconSet>
    </cfRule>
  </conditionalFormatting>
  <conditionalFormatting sqref="J47">
    <cfRule type="iconSet" priority="6">
      <iconSet iconSet="3Arrows">
        <cfvo type="percent" val="0"/>
        <cfvo type="num" val="0"/>
        <cfvo type="num" val="0"/>
      </iconSet>
    </cfRule>
  </conditionalFormatting>
  <conditionalFormatting sqref="F47">
    <cfRule type="iconSet" priority="7">
      <iconSet iconSet="3Arrows">
        <cfvo type="percent" val="0"/>
        <cfvo type="num" val="0"/>
        <cfvo type="num" val="0"/>
      </iconSet>
    </cfRule>
  </conditionalFormatting>
  <conditionalFormatting sqref="J28">
    <cfRule type="iconSet" priority="8">
      <iconSet iconSet="3Arrows">
        <cfvo type="percent" val="0"/>
        <cfvo type="num" val="0"/>
        <cfvo type="num" val="0"/>
      </iconSet>
    </cfRule>
  </conditionalFormatting>
  <conditionalFormatting sqref="F28">
    <cfRule type="iconSet" priority="9">
      <iconSet iconSet="3Arrows">
        <cfvo type="percent" val="0"/>
        <cfvo type="num" val="0"/>
        <cfvo type="num" val="0"/>
      </iconSet>
    </cfRule>
  </conditionalFormatting>
  <conditionalFormatting sqref="J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7">
    <cfRule type="iconSet" priority="1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E5D6"/>
  </sheetPr>
  <dimension ref="A2:T97"/>
  <sheetViews>
    <sheetView zoomScaleNormal="100" workbookViewId="0">
      <selection activeCell="C37" sqref="C37"/>
    </sheetView>
  </sheetViews>
  <sheetFormatPr baseColWidth="10" defaultColWidth="11.453125" defaultRowHeight="14.5"/>
  <cols>
    <col min="1" max="1" width="5.81640625" style="1" customWidth="1"/>
    <col min="2" max="2" width="4" style="1" customWidth="1"/>
    <col min="3" max="3" width="51.54296875" style="1" customWidth="1"/>
    <col min="4" max="4" width="10.1796875" style="1" customWidth="1"/>
    <col min="5" max="5" width="29.54296875" style="1" customWidth="1"/>
    <col min="6" max="7" width="11.1796875" style="1" customWidth="1"/>
    <col min="8" max="8" width="11.81640625" style="1" customWidth="1"/>
    <col min="9" max="9" width="8.81640625" style="1" customWidth="1"/>
    <col min="10" max="10" width="11.1796875" style="1" customWidth="1"/>
    <col min="11" max="11" width="10.81640625" style="1" customWidth="1"/>
    <col min="12" max="12" width="9" style="1" customWidth="1"/>
    <col min="13" max="13" width="8.81640625" style="1" customWidth="1"/>
    <col min="14" max="15" width="7.54296875" style="1" customWidth="1"/>
    <col min="16" max="16" width="8.1796875" style="1" customWidth="1"/>
    <col min="17" max="17" width="8.81640625" style="1" customWidth="1"/>
    <col min="18" max="18" width="7.54296875" style="1" customWidth="1"/>
    <col min="19" max="19" width="8.1796875" style="1" customWidth="1"/>
    <col min="20" max="20" width="7.81640625" style="1" customWidth="1"/>
  </cols>
  <sheetData>
    <row r="2" spans="4:20" ht="15" customHeight="1"/>
    <row r="3" spans="4:20" ht="15" customHeight="1">
      <c r="E3" s="64" t="s">
        <v>48</v>
      </c>
      <c r="F3" s="310" t="s">
        <v>49</v>
      </c>
      <c r="G3" s="310"/>
      <c r="H3" s="310"/>
      <c r="I3" s="310"/>
      <c r="J3" s="310"/>
      <c r="K3" s="310"/>
      <c r="L3" s="310"/>
      <c r="N3" s="310" t="s">
        <v>50</v>
      </c>
      <c r="O3" s="310"/>
      <c r="P3" s="310"/>
      <c r="Q3" s="310"/>
      <c r="R3" s="310"/>
      <c r="S3" s="310"/>
      <c r="T3" s="310"/>
    </row>
    <row r="4" spans="4:20" ht="14.25" customHeight="1">
      <c r="D4" s="65" t="s">
        <v>51</v>
      </c>
      <c r="E4" s="66" t="s">
        <v>52</v>
      </c>
      <c r="F4" s="67">
        <v>2020</v>
      </c>
      <c r="G4" s="67" t="s">
        <v>53</v>
      </c>
      <c r="H4" s="68" t="s">
        <v>54</v>
      </c>
      <c r="I4" s="69" t="s">
        <v>55</v>
      </c>
      <c r="J4" s="67">
        <v>2019</v>
      </c>
      <c r="K4" s="68" t="s">
        <v>54</v>
      </c>
      <c r="L4" s="69" t="s">
        <v>55</v>
      </c>
      <c r="N4" s="67">
        <v>2020</v>
      </c>
      <c r="O4" s="67" t="s">
        <v>53</v>
      </c>
      <c r="P4" s="68" t="s">
        <v>54</v>
      </c>
      <c r="Q4" s="69" t="s">
        <v>55</v>
      </c>
      <c r="R4" s="67">
        <v>2019</v>
      </c>
      <c r="S4" s="68" t="s">
        <v>54</v>
      </c>
      <c r="T4" s="69" t="s">
        <v>55</v>
      </c>
    </row>
    <row r="5" spans="4:20" ht="14.25" customHeight="1">
      <c r="D5" s="70">
        <v>1</v>
      </c>
      <c r="E5" s="71" t="s">
        <v>56</v>
      </c>
      <c r="F5" s="72">
        <v>3799747.92</v>
      </c>
      <c r="G5" s="73">
        <v>4354552.4328287002</v>
      </c>
      <c r="H5" s="74">
        <f t="shared" ref="H5:H11" si="0">F5-G5</f>
        <v>-554804.51282870024</v>
      </c>
      <c r="I5" s="75">
        <f t="shared" ref="I5:I11" si="1">IFERROR(F5/G5-1,0)</f>
        <v>-0.12740793029521558</v>
      </c>
      <c r="J5" s="73">
        <v>5433696.6799999997</v>
      </c>
      <c r="K5" s="74">
        <f t="shared" ref="K5:K11" si="2">F5-J5</f>
        <v>-1633948.7599999998</v>
      </c>
      <c r="L5" s="75">
        <f t="shared" ref="L5:L11" si="3">IFERROR(F5/J5-1,0)</f>
        <v>-0.30070665630161741</v>
      </c>
      <c r="N5" s="76">
        <v>134310.4039</v>
      </c>
      <c r="O5" s="77">
        <v>149514.37349999999</v>
      </c>
      <c r="P5" s="78">
        <f t="shared" ref="P5:P11" si="4">N5-O5</f>
        <v>-15203.969599999982</v>
      </c>
      <c r="Q5" s="75">
        <f t="shared" ref="Q5:Q11" si="5">IFERROR(N5/O5-1,0)</f>
        <v>-0.10168901654127582</v>
      </c>
      <c r="R5" s="77">
        <v>169472.66959999999</v>
      </c>
      <c r="S5" s="78">
        <f t="shared" ref="S5:S11" si="6">N5-R5</f>
        <v>-35162.265699999989</v>
      </c>
      <c r="T5" s="75">
        <f t="shared" ref="T5:T11" si="7">IFERROR(N5/R5-1,0)</f>
        <v>-0.20748044969724122</v>
      </c>
    </row>
    <row r="6" spans="4:20" ht="14.25" customHeight="1">
      <c r="D6" s="70">
        <v>2</v>
      </c>
      <c r="E6" s="71" t="s">
        <v>57</v>
      </c>
      <c r="F6" s="72">
        <v>2144834.8199999998</v>
      </c>
      <c r="G6" s="73">
        <v>2211391.4977799999</v>
      </c>
      <c r="H6" s="74">
        <f t="shared" si="0"/>
        <v>-66556.677780000027</v>
      </c>
      <c r="I6" s="75">
        <f t="shared" si="1"/>
        <v>-3.0097193485104645E-2</v>
      </c>
      <c r="J6" s="73">
        <v>4367620.95</v>
      </c>
      <c r="K6" s="74">
        <f t="shared" si="2"/>
        <v>-2222786.1300000004</v>
      </c>
      <c r="L6" s="75">
        <f t="shared" si="3"/>
        <v>-0.50892377233422703</v>
      </c>
      <c r="N6" s="76">
        <v>29580.707900000001</v>
      </c>
      <c r="O6" s="77">
        <v>34859</v>
      </c>
      <c r="P6" s="78">
        <f t="shared" si="4"/>
        <v>-5278.2920999999988</v>
      </c>
      <c r="Q6" s="75">
        <f t="shared" si="5"/>
        <v>-0.15141834533406007</v>
      </c>
      <c r="R6" s="77">
        <v>81065.496799999994</v>
      </c>
      <c r="S6" s="78">
        <f t="shared" si="6"/>
        <v>-51484.788899999992</v>
      </c>
      <c r="T6" s="75">
        <f t="shared" si="7"/>
        <v>-0.63510113343313268</v>
      </c>
    </row>
    <row r="7" spans="4:20" ht="14.25" customHeight="1">
      <c r="D7" s="70">
        <v>3</v>
      </c>
      <c r="E7" s="71" t="s">
        <v>58</v>
      </c>
      <c r="F7" s="72">
        <v>1586906.97</v>
      </c>
      <c r="G7" s="73">
        <v>2163659.4514648002</v>
      </c>
      <c r="H7" s="74">
        <f t="shared" si="0"/>
        <v>-576752.48146480019</v>
      </c>
      <c r="I7" s="75">
        <f t="shared" si="1"/>
        <v>-0.26656342848886783</v>
      </c>
      <c r="J7" s="73">
        <v>1522760.27</v>
      </c>
      <c r="K7" s="74">
        <f t="shared" si="2"/>
        <v>64146.699999999953</v>
      </c>
      <c r="L7" s="75">
        <f t="shared" si="3"/>
        <v>4.2125278196284865E-2</v>
      </c>
      <c r="N7" s="76">
        <v>49576.13</v>
      </c>
      <c r="O7" s="77">
        <v>71475.08</v>
      </c>
      <c r="P7" s="78">
        <f t="shared" si="4"/>
        <v>-21898.950000000004</v>
      </c>
      <c r="Q7" s="75">
        <f t="shared" si="5"/>
        <v>-0.30638580607394916</v>
      </c>
      <c r="R7" s="77">
        <v>47484.449699999997</v>
      </c>
      <c r="S7" s="78">
        <f t="shared" si="6"/>
        <v>2091.6803</v>
      </c>
      <c r="T7" s="75">
        <f t="shared" si="7"/>
        <v>4.4049795527060676E-2</v>
      </c>
    </row>
    <row r="8" spans="4:20" ht="14.25" customHeight="1">
      <c r="D8" s="70">
        <v>5</v>
      </c>
      <c r="E8" s="71" t="s">
        <v>59</v>
      </c>
      <c r="F8" s="72">
        <v>121042.57</v>
      </c>
      <c r="G8" s="73">
        <v>114742.173</v>
      </c>
      <c r="H8" s="74">
        <f t="shared" si="0"/>
        <v>6300.3970000000118</v>
      </c>
      <c r="I8" s="75">
        <f t="shared" si="1"/>
        <v>5.4909165786846348E-2</v>
      </c>
      <c r="J8" s="73">
        <v>134134.85999999999</v>
      </c>
      <c r="K8" s="74">
        <f t="shared" si="2"/>
        <v>-13092.289999999979</v>
      </c>
      <c r="L8" s="75">
        <f t="shared" si="3"/>
        <v>-9.7605424868673074E-2</v>
      </c>
      <c r="N8" s="76">
        <v>150</v>
      </c>
      <c r="O8" s="77">
        <v>130</v>
      </c>
      <c r="P8" s="78">
        <f t="shared" si="4"/>
        <v>20</v>
      </c>
      <c r="Q8" s="75">
        <f t="shared" si="5"/>
        <v>0.15384615384615374</v>
      </c>
      <c r="R8" s="77">
        <v>160</v>
      </c>
      <c r="S8" s="78">
        <f t="shared" si="6"/>
        <v>-10</v>
      </c>
      <c r="T8" s="75">
        <f t="shared" si="7"/>
        <v>-6.25E-2</v>
      </c>
    </row>
    <row r="9" spans="4:20" ht="14.25" customHeight="1">
      <c r="D9" s="70">
        <v>6</v>
      </c>
      <c r="E9" s="71" t="s">
        <v>60</v>
      </c>
      <c r="F9" s="72">
        <v>2450819.7400000002</v>
      </c>
      <c r="G9" s="73">
        <v>2431461.7135919998</v>
      </c>
      <c r="H9" s="74">
        <f t="shared" si="0"/>
        <v>19358.026408000384</v>
      </c>
      <c r="I9" s="75">
        <f t="shared" si="1"/>
        <v>7.9614769584024359E-3</v>
      </c>
      <c r="J9" s="73">
        <v>2822915.1</v>
      </c>
      <c r="K9" s="74">
        <f t="shared" si="2"/>
        <v>-372095.35999999987</v>
      </c>
      <c r="L9" s="75">
        <f t="shared" si="3"/>
        <v>-0.13181245160366317</v>
      </c>
      <c r="N9" s="76">
        <v>71398.03</v>
      </c>
      <c r="O9" s="77">
        <v>92726.671799999996</v>
      </c>
      <c r="P9" s="78">
        <f t="shared" si="4"/>
        <v>-21328.641799999998</v>
      </c>
      <c r="Q9" s="75">
        <f t="shared" si="5"/>
        <v>-0.230016255150441</v>
      </c>
      <c r="R9" s="77">
        <v>96533.345700000005</v>
      </c>
      <c r="S9" s="78">
        <f t="shared" si="6"/>
        <v>-25135.315700000006</v>
      </c>
      <c r="T9" s="75">
        <f t="shared" si="7"/>
        <v>-0.26037961823175471</v>
      </c>
    </row>
    <row r="10" spans="4:20" ht="14.25" customHeight="1">
      <c r="D10" s="70">
        <v>7</v>
      </c>
      <c r="E10" s="71" t="s">
        <v>61</v>
      </c>
      <c r="F10" s="72">
        <v>1575484.45</v>
      </c>
      <c r="G10" s="73">
        <v>1300918.2425371001</v>
      </c>
      <c r="H10" s="74">
        <f t="shared" si="0"/>
        <v>274566.20746289985</v>
      </c>
      <c r="I10" s="75">
        <f t="shared" si="1"/>
        <v>0.21105569780267697</v>
      </c>
      <c r="J10" s="73">
        <v>1228581.3799999999</v>
      </c>
      <c r="K10" s="74">
        <f t="shared" si="2"/>
        <v>346903.07000000007</v>
      </c>
      <c r="L10" s="75">
        <f t="shared" si="3"/>
        <v>0.28236067683200616</v>
      </c>
      <c r="N10" s="76">
        <v>27953.524000000001</v>
      </c>
      <c r="O10" s="77">
        <v>24074.929199999999</v>
      </c>
      <c r="P10" s="78">
        <f t="shared" si="4"/>
        <v>3878.5948000000026</v>
      </c>
      <c r="Q10" s="75">
        <f t="shared" si="5"/>
        <v>0.16110513836942064</v>
      </c>
      <c r="R10" s="77">
        <v>22928.504000000001</v>
      </c>
      <c r="S10" s="78">
        <f t="shared" si="6"/>
        <v>5025.0200000000004</v>
      </c>
      <c r="T10" s="75">
        <f t="shared" si="7"/>
        <v>0.21916039528789155</v>
      </c>
    </row>
    <row r="11" spans="4:20" ht="14.25" customHeight="1">
      <c r="F11" s="79">
        <f>SUM(F5:F10)</f>
        <v>11678836.469999999</v>
      </c>
      <c r="G11" s="79">
        <f>SUM(G5:G10)</f>
        <v>12576725.5112026</v>
      </c>
      <c r="H11" s="79">
        <f t="shared" si="0"/>
        <v>-897889.04120260105</v>
      </c>
      <c r="I11" s="80">
        <f t="shared" si="1"/>
        <v>-7.1392910690689315E-2</v>
      </c>
      <c r="J11" s="79">
        <f>SUM(J5:J10)</f>
        <v>15509709.239999998</v>
      </c>
      <c r="K11" s="79">
        <f t="shared" si="2"/>
        <v>-3830872.7699999996</v>
      </c>
      <c r="L11" s="80">
        <f t="shared" si="3"/>
        <v>-0.2469983615244099</v>
      </c>
      <c r="N11" s="81">
        <f>SUM(N5:N10)</f>
        <v>312968.79579999996</v>
      </c>
      <c r="O11" s="81">
        <f>SUM(O5:O10)</f>
        <v>372780.05450000003</v>
      </c>
      <c r="P11" s="81">
        <f t="shared" si="4"/>
        <v>-59811.258700000064</v>
      </c>
      <c r="Q11" s="80">
        <f t="shared" si="5"/>
        <v>-0.16044650988697162</v>
      </c>
      <c r="R11" s="81">
        <f>SUM(R5:R10)</f>
        <v>417644.46580000001</v>
      </c>
      <c r="S11" s="81">
        <f t="shared" si="6"/>
        <v>-104675.67000000004</v>
      </c>
      <c r="T11" s="80">
        <f t="shared" si="7"/>
        <v>-0.25063344201028326</v>
      </c>
    </row>
    <row r="13" spans="4:20" ht="15" customHeight="1"/>
    <row r="14" spans="4:20" ht="15" customHeight="1">
      <c r="E14" s="64" t="s">
        <v>62</v>
      </c>
      <c r="F14" s="310" t="s">
        <v>49</v>
      </c>
      <c r="G14" s="310"/>
      <c r="H14" s="310"/>
      <c r="I14" s="310"/>
      <c r="J14" s="310"/>
      <c r="K14" s="310"/>
      <c r="L14" s="310"/>
      <c r="N14" s="310" t="s">
        <v>50</v>
      </c>
      <c r="O14" s="310"/>
      <c r="P14" s="310"/>
      <c r="Q14" s="310"/>
      <c r="R14" s="310"/>
      <c r="S14" s="310"/>
      <c r="T14" s="310"/>
    </row>
    <row r="15" spans="4:20" ht="14.25" customHeight="1">
      <c r="D15" s="65" t="s">
        <v>51</v>
      </c>
      <c r="E15" s="66" t="s">
        <v>52</v>
      </c>
      <c r="F15" s="67">
        <v>2020</v>
      </c>
      <c r="G15" s="67" t="s">
        <v>53</v>
      </c>
      <c r="H15" s="68" t="s">
        <v>54</v>
      </c>
      <c r="I15" s="69" t="s">
        <v>55</v>
      </c>
      <c r="J15" s="67">
        <v>2019</v>
      </c>
      <c r="K15" s="68" t="s">
        <v>54</v>
      </c>
      <c r="L15" s="69" t="s">
        <v>55</v>
      </c>
      <c r="N15" s="67">
        <v>2020</v>
      </c>
      <c r="O15" s="67" t="s">
        <v>53</v>
      </c>
      <c r="P15" s="68" t="s">
        <v>54</v>
      </c>
      <c r="Q15" s="69" t="s">
        <v>55</v>
      </c>
      <c r="R15" s="67">
        <v>2019</v>
      </c>
      <c r="S15" s="68" t="s">
        <v>54</v>
      </c>
      <c r="T15" s="69" t="s">
        <v>55</v>
      </c>
    </row>
    <row r="16" spans="4:20" ht="14.25" customHeight="1">
      <c r="D16" s="70">
        <v>1</v>
      </c>
      <c r="E16" s="71" t="s">
        <v>56</v>
      </c>
      <c r="F16" s="72"/>
      <c r="G16" s="73">
        <f>L40+L41+L42+L43+L44+L45+L46+L47</f>
        <v>-98148.038874999984</v>
      </c>
      <c r="H16" s="74"/>
      <c r="I16" s="75"/>
      <c r="J16" s="73"/>
      <c r="K16" s="74"/>
      <c r="L16" s="75"/>
      <c r="N16" s="76"/>
      <c r="O16" s="77">
        <f>H40+H41+H42+H43+H44+H45+H46+H47</f>
        <v>-483</v>
      </c>
      <c r="P16" s="78"/>
      <c r="Q16" s="75"/>
      <c r="R16" s="77"/>
      <c r="S16" s="78"/>
      <c r="T16" s="75"/>
    </row>
    <row r="17" spans="4:20" ht="14.25" customHeight="1">
      <c r="D17" s="70">
        <v>2</v>
      </c>
      <c r="E17" s="71" t="s">
        <v>57</v>
      </c>
      <c r="F17" s="72"/>
      <c r="G17" s="73">
        <f>L58</f>
        <v>-5846.19</v>
      </c>
      <c r="H17" s="74"/>
      <c r="I17" s="75"/>
      <c r="J17" s="73"/>
      <c r="K17" s="74"/>
      <c r="L17" s="75"/>
      <c r="N17" s="76"/>
      <c r="O17" s="77">
        <f>H58</f>
        <v>-20</v>
      </c>
      <c r="P17" s="78"/>
      <c r="Q17" s="75"/>
      <c r="R17" s="77"/>
      <c r="S17" s="78"/>
      <c r="T17" s="75"/>
    </row>
    <row r="18" spans="4:20" ht="14.25" customHeight="1">
      <c r="D18" s="70">
        <v>3</v>
      </c>
      <c r="E18" s="71" t="s">
        <v>58</v>
      </c>
      <c r="F18" s="72"/>
      <c r="G18" s="73">
        <f>L66+L67+L68+L69+L70+L71</f>
        <v>-31389.151499999996</v>
      </c>
      <c r="H18" s="74"/>
      <c r="I18" s="75"/>
      <c r="J18" s="73"/>
      <c r="K18" s="74"/>
      <c r="L18" s="75"/>
      <c r="N18" s="76"/>
      <c r="O18" s="77">
        <f>H66+H67+H68+H69+H70+H71</f>
        <v>-132</v>
      </c>
      <c r="P18" s="78"/>
      <c r="Q18" s="75"/>
      <c r="R18" s="77"/>
      <c r="S18" s="78"/>
      <c r="T18" s="75"/>
    </row>
    <row r="19" spans="4:20" ht="14.25" customHeight="1">
      <c r="D19" s="70">
        <v>5</v>
      </c>
      <c r="E19" s="71" t="s">
        <v>59</v>
      </c>
      <c r="F19" s="72"/>
      <c r="G19" s="73"/>
      <c r="H19" s="74"/>
      <c r="I19" s="75"/>
      <c r="J19" s="73"/>
      <c r="K19" s="74"/>
      <c r="L19" s="75"/>
      <c r="N19" s="76"/>
      <c r="O19" s="77"/>
      <c r="P19" s="78"/>
      <c r="Q19" s="75"/>
      <c r="R19" s="77"/>
      <c r="S19" s="78"/>
      <c r="T19" s="75"/>
    </row>
    <row r="20" spans="4:20" ht="14.25" customHeight="1">
      <c r="D20" s="70">
        <v>6</v>
      </c>
      <c r="E20" s="71" t="s">
        <v>60</v>
      </c>
      <c r="F20" s="72"/>
      <c r="G20" s="73">
        <f>L80+L81+L82+L83+L84+L85+L86</f>
        <v>-70421.879499999995</v>
      </c>
      <c r="H20" s="74"/>
      <c r="I20" s="75"/>
      <c r="J20" s="73"/>
      <c r="K20" s="74"/>
      <c r="L20" s="75"/>
      <c r="N20" s="76"/>
      <c r="O20" s="77">
        <f>H80+H81+H82+H83+H84+H85</f>
        <v>-317</v>
      </c>
      <c r="P20" s="78"/>
      <c r="Q20" s="75"/>
      <c r="R20" s="77"/>
      <c r="S20" s="78"/>
      <c r="T20" s="75"/>
    </row>
    <row r="21" spans="4:20" ht="14.25" customHeight="1">
      <c r="D21" s="70">
        <v>7</v>
      </c>
      <c r="E21" s="71" t="s">
        <v>61</v>
      </c>
      <c r="F21" s="72"/>
      <c r="G21" s="73">
        <f>L95</f>
        <v>-12105.891</v>
      </c>
      <c r="H21" s="74"/>
      <c r="I21" s="75"/>
      <c r="J21" s="73"/>
      <c r="K21" s="74"/>
      <c r="L21" s="75"/>
      <c r="N21" s="76"/>
      <c r="O21" s="77">
        <f>H95</f>
        <v>-42</v>
      </c>
      <c r="P21" s="78"/>
      <c r="Q21" s="75"/>
      <c r="R21" s="77"/>
      <c r="S21" s="78"/>
      <c r="T21" s="75"/>
    </row>
    <row r="22" spans="4:20" ht="14.25" customHeight="1">
      <c r="F22" s="79">
        <f>SUM(F16:F21)</f>
        <v>0</v>
      </c>
      <c r="G22" s="79">
        <f>SUM(G16:G21)</f>
        <v>-217911.15087499999</v>
      </c>
      <c r="H22" s="79">
        <f>F22-G22</f>
        <v>217911.15087499999</v>
      </c>
      <c r="I22" s="80">
        <f>IFERROR(F22/G22-1,0)</f>
        <v>-1</v>
      </c>
      <c r="J22" s="79">
        <f>SUM(J16:J21)</f>
        <v>0</v>
      </c>
      <c r="K22" s="79">
        <f>F22-J22</f>
        <v>0</v>
      </c>
      <c r="L22" s="80">
        <f>IFERROR(F22/J22-1,0)</f>
        <v>0</v>
      </c>
      <c r="N22" s="81">
        <f>SUM(N16:N21)</f>
        <v>0</v>
      </c>
      <c r="O22" s="81">
        <f>SUM(O16:O21)</f>
        <v>-994</v>
      </c>
      <c r="P22" s="81">
        <f>N22-O22</f>
        <v>994</v>
      </c>
      <c r="Q22" s="80">
        <f>IFERROR(N22/O22-1,0)</f>
        <v>-1</v>
      </c>
      <c r="R22" s="81">
        <f>SUM(R16:R21)</f>
        <v>0</v>
      </c>
      <c r="S22" s="81">
        <f>N22-R22</f>
        <v>0</v>
      </c>
      <c r="T22" s="80">
        <f>IFERROR(N22/R22-1,0)</f>
        <v>0</v>
      </c>
    </row>
    <row r="24" spans="4:20" ht="15" customHeight="1"/>
    <row r="25" spans="4:20" ht="15" customHeight="1">
      <c r="E25" s="64" t="s">
        <v>63</v>
      </c>
      <c r="F25" s="310" t="s">
        <v>49</v>
      </c>
      <c r="G25" s="310"/>
      <c r="H25" s="310"/>
      <c r="I25" s="310"/>
      <c r="J25" s="310"/>
      <c r="K25" s="310"/>
      <c r="L25" s="310"/>
      <c r="N25" s="310" t="s">
        <v>50</v>
      </c>
      <c r="O25" s="310"/>
      <c r="P25" s="310"/>
      <c r="Q25" s="310"/>
      <c r="R25" s="310"/>
      <c r="S25" s="310"/>
      <c r="T25" s="310"/>
    </row>
    <row r="26" spans="4:20" ht="14.25" customHeight="1">
      <c r="D26" s="65" t="s">
        <v>51</v>
      </c>
      <c r="E26" s="66" t="s">
        <v>52</v>
      </c>
      <c r="F26" s="67">
        <v>2020</v>
      </c>
      <c r="G26" s="67" t="s">
        <v>53</v>
      </c>
      <c r="H26" s="68" t="s">
        <v>54</v>
      </c>
      <c r="I26" s="69" t="s">
        <v>55</v>
      </c>
      <c r="J26" s="67">
        <v>2019</v>
      </c>
      <c r="K26" s="68" t="s">
        <v>54</v>
      </c>
      <c r="L26" s="69" t="s">
        <v>55</v>
      </c>
      <c r="N26" s="67">
        <v>2020</v>
      </c>
      <c r="O26" s="67" t="s">
        <v>53</v>
      </c>
      <c r="P26" s="68" t="s">
        <v>54</v>
      </c>
      <c r="Q26" s="69" t="s">
        <v>55</v>
      </c>
      <c r="R26" s="67">
        <v>2019</v>
      </c>
      <c r="S26" s="68" t="s">
        <v>54</v>
      </c>
      <c r="T26" s="69" t="s">
        <v>55</v>
      </c>
    </row>
    <row r="27" spans="4:20" ht="14.25" customHeight="1">
      <c r="D27" s="70">
        <v>1</v>
      </c>
      <c r="E27" s="71" t="s">
        <v>56</v>
      </c>
      <c r="F27" s="72">
        <v>3799747.92</v>
      </c>
      <c r="G27" s="73">
        <f t="shared" ref="G27:G32" si="8">G5+G16</f>
        <v>4256404.3939537005</v>
      </c>
      <c r="H27" s="74">
        <f t="shared" ref="H27:H33" si="9">F27-G27</f>
        <v>-456656.47395370062</v>
      </c>
      <c r="I27" s="75">
        <f t="shared" ref="I27:I33" si="10">IFERROR(F27/G27-1,0)</f>
        <v>-0.10728690972182753</v>
      </c>
      <c r="J27" s="73">
        <v>5433696.6799999997</v>
      </c>
      <c r="K27" s="74">
        <f t="shared" ref="K27:K33" si="11">F27-J27</f>
        <v>-1633948.7599999998</v>
      </c>
      <c r="L27" s="75">
        <f t="shared" ref="L27:L33" si="12">IFERROR(F27/J27-1,0)</f>
        <v>-0.30070665630161741</v>
      </c>
      <c r="N27" s="76">
        <v>134310.4039</v>
      </c>
      <c r="O27" s="77">
        <f t="shared" ref="O27:O32" si="13">O5+O16</f>
        <v>149031.37349999999</v>
      </c>
      <c r="P27" s="78">
        <f t="shared" ref="P27:P33" si="14">N27-O27</f>
        <v>-14720.969599999982</v>
      </c>
      <c r="Q27" s="75">
        <f t="shared" ref="Q27:Q33" si="15">IFERROR(N27/O27-1,0)</f>
        <v>-9.8777655028456035E-2</v>
      </c>
      <c r="R27" s="77">
        <v>169472.66959999999</v>
      </c>
      <c r="S27" s="78">
        <f t="shared" ref="S27:S33" si="16">N27-R27</f>
        <v>-35162.265699999989</v>
      </c>
      <c r="T27" s="75">
        <f t="shared" ref="T27:T33" si="17">IFERROR(N27/R27-1,0)</f>
        <v>-0.20748044969724122</v>
      </c>
    </row>
    <row r="28" spans="4:20" ht="14.25" customHeight="1">
      <c r="D28" s="70">
        <v>2</v>
      </c>
      <c r="E28" s="71" t="s">
        <v>57</v>
      </c>
      <c r="F28" s="72">
        <v>2144834.8199999998</v>
      </c>
      <c r="G28" s="73">
        <f t="shared" si="8"/>
        <v>2205545.3077799999</v>
      </c>
      <c r="H28" s="74">
        <f t="shared" si="9"/>
        <v>-60710.487780000083</v>
      </c>
      <c r="I28" s="75">
        <f t="shared" si="10"/>
        <v>-2.7526293640781518E-2</v>
      </c>
      <c r="J28" s="73">
        <v>4367620.95</v>
      </c>
      <c r="K28" s="74">
        <f t="shared" si="11"/>
        <v>-2222786.1300000004</v>
      </c>
      <c r="L28" s="75">
        <f t="shared" si="12"/>
        <v>-0.50892377233422703</v>
      </c>
      <c r="N28" s="76">
        <v>29580.707900000001</v>
      </c>
      <c r="O28" s="77">
        <f t="shared" si="13"/>
        <v>34839</v>
      </c>
      <c r="P28" s="78">
        <f t="shared" si="14"/>
        <v>-5258.2920999999988</v>
      </c>
      <c r="Q28" s="75">
        <f t="shared" si="15"/>
        <v>-0.15093120066592036</v>
      </c>
      <c r="R28" s="77">
        <v>81065.496799999994</v>
      </c>
      <c r="S28" s="78">
        <f t="shared" si="16"/>
        <v>-51484.788899999992</v>
      </c>
      <c r="T28" s="75">
        <f t="shared" si="17"/>
        <v>-0.63510113343313268</v>
      </c>
    </row>
    <row r="29" spans="4:20" ht="14.25" customHeight="1">
      <c r="D29" s="70">
        <v>3</v>
      </c>
      <c r="E29" s="71" t="s">
        <v>58</v>
      </c>
      <c r="F29" s="72">
        <v>1586906.97</v>
      </c>
      <c r="G29" s="73">
        <f t="shared" si="8"/>
        <v>2132270.2999648</v>
      </c>
      <c r="H29" s="74">
        <f t="shared" si="9"/>
        <v>-545363.32996480004</v>
      </c>
      <c r="I29" s="75">
        <f t="shared" si="10"/>
        <v>-0.25576650857717387</v>
      </c>
      <c r="J29" s="73">
        <v>1522760.27</v>
      </c>
      <c r="K29" s="74">
        <f t="shared" si="11"/>
        <v>64146.699999999953</v>
      </c>
      <c r="L29" s="75">
        <f t="shared" si="12"/>
        <v>4.2125278196284865E-2</v>
      </c>
      <c r="N29" s="76">
        <v>49576.13</v>
      </c>
      <c r="O29" s="77">
        <f t="shared" si="13"/>
        <v>71343.08</v>
      </c>
      <c r="P29" s="78">
        <f t="shared" si="14"/>
        <v>-21766.950000000004</v>
      </c>
      <c r="Q29" s="75">
        <f t="shared" si="15"/>
        <v>-0.305102471045545</v>
      </c>
      <c r="R29" s="77">
        <v>47484.449699999997</v>
      </c>
      <c r="S29" s="78">
        <f t="shared" si="16"/>
        <v>2091.6803</v>
      </c>
      <c r="T29" s="75">
        <f t="shared" si="17"/>
        <v>4.4049795527060676E-2</v>
      </c>
    </row>
    <row r="30" spans="4:20" ht="14.25" customHeight="1">
      <c r="D30" s="70">
        <v>5</v>
      </c>
      <c r="E30" s="71" t="s">
        <v>59</v>
      </c>
      <c r="F30" s="72">
        <v>121042.57</v>
      </c>
      <c r="G30" s="73">
        <f t="shared" si="8"/>
        <v>114742.173</v>
      </c>
      <c r="H30" s="74">
        <f t="shared" si="9"/>
        <v>6300.3970000000118</v>
      </c>
      <c r="I30" s="75">
        <f t="shared" si="10"/>
        <v>5.4909165786846348E-2</v>
      </c>
      <c r="J30" s="73">
        <v>134134.85999999999</v>
      </c>
      <c r="K30" s="74">
        <f t="shared" si="11"/>
        <v>-13092.289999999979</v>
      </c>
      <c r="L30" s="75">
        <f t="shared" si="12"/>
        <v>-9.7605424868673074E-2</v>
      </c>
      <c r="N30" s="76">
        <v>150</v>
      </c>
      <c r="O30" s="77">
        <f t="shared" si="13"/>
        <v>130</v>
      </c>
      <c r="P30" s="78">
        <f t="shared" si="14"/>
        <v>20</v>
      </c>
      <c r="Q30" s="75">
        <f t="shared" si="15"/>
        <v>0.15384615384615374</v>
      </c>
      <c r="R30" s="77">
        <v>160</v>
      </c>
      <c r="S30" s="78">
        <f t="shared" si="16"/>
        <v>-10</v>
      </c>
      <c r="T30" s="75">
        <f t="shared" si="17"/>
        <v>-6.25E-2</v>
      </c>
    </row>
    <row r="31" spans="4:20" ht="14.25" customHeight="1">
      <c r="D31" s="70">
        <v>6</v>
      </c>
      <c r="E31" s="71" t="s">
        <v>60</v>
      </c>
      <c r="F31" s="72">
        <v>2450819.7400000002</v>
      </c>
      <c r="G31" s="73">
        <f t="shared" si="8"/>
        <v>2361039.834092</v>
      </c>
      <c r="H31" s="74">
        <f t="shared" si="9"/>
        <v>89779.90590800019</v>
      </c>
      <c r="I31" s="75">
        <f t="shared" si="10"/>
        <v>3.8025578650403125E-2</v>
      </c>
      <c r="J31" s="73">
        <v>2822915.1</v>
      </c>
      <c r="K31" s="74">
        <f t="shared" si="11"/>
        <v>-372095.35999999987</v>
      </c>
      <c r="L31" s="75">
        <f t="shared" si="12"/>
        <v>-0.13181245160366317</v>
      </c>
      <c r="N31" s="76">
        <v>71398.03</v>
      </c>
      <c r="O31" s="77">
        <f t="shared" si="13"/>
        <v>92409.671799999996</v>
      </c>
      <c r="P31" s="78">
        <f t="shared" si="14"/>
        <v>-21011.641799999998</v>
      </c>
      <c r="Q31" s="75">
        <f t="shared" si="15"/>
        <v>-0.22737492072772403</v>
      </c>
      <c r="R31" s="77">
        <v>96533.345700000005</v>
      </c>
      <c r="S31" s="78">
        <f t="shared" si="16"/>
        <v>-25135.315700000006</v>
      </c>
      <c r="T31" s="75">
        <f t="shared" si="17"/>
        <v>-0.26037961823175471</v>
      </c>
    </row>
    <row r="32" spans="4:20" ht="14.25" customHeight="1">
      <c r="D32" s="70">
        <v>7</v>
      </c>
      <c r="E32" s="71" t="s">
        <v>61</v>
      </c>
      <c r="F32" s="72">
        <v>1575484.45</v>
      </c>
      <c r="G32" s="73">
        <f t="shared" si="8"/>
        <v>1288812.3515371</v>
      </c>
      <c r="H32" s="74">
        <f t="shared" si="9"/>
        <v>286672.09846289991</v>
      </c>
      <c r="I32" s="75">
        <f t="shared" si="10"/>
        <v>0.222431215933802</v>
      </c>
      <c r="J32" s="73">
        <v>1228581.3799999999</v>
      </c>
      <c r="K32" s="74">
        <f t="shared" si="11"/>
        <v>346903.07000000007</v>
      </c>
      <c r="L32" s="75">
        <f t="shared" si="12"/>
        <v>0.28236067683200616</v>
      </c>
      <c r="N32" s="76">
        <v>27953.524000000001</v>
      </c>
      <c r="O32" s="77">
        <f t="shared" si="13"/>
        <v>24032.929199999999</v>
      </c>
      <c r="P32" s="78">
        <f t="shared" si="14"/>
        <v>3920.5948000000026</v>
      </c>
      <c r="Q32" s="75">
        <f t="shared" si="15"/>
        <v>0.16313428826645082</v>
      </c>
      <c r="R32" s="77">
        <v>22928.504000000001</v>
      </c>
      <c r="S32" s="78">
        <f t="shared" si="16"/>
        <v>5025.0200000000004</v>
      </c>
      <c r="T32" s="75">
        <f t="shared" si="17"/>
        <v>0.21916039528789155</v>
      </c>
    </row>
    <row r="33" spans="1:20" ht="14.25" customHeight="1">
      <c r="F33" s="79">
        <f>SUM(F27:F32)</f>
        <v>11678836.469999999</v>
      </c>
      <c r="G33" s="79">
        <f>SUM(G27:G32)</f>
        <v>12358814.360327601</v>
      </c>
      <c r="H33" s="79">
        <f t="shared" si="9"/>
        <v>-679977.89032760262</v>
      </c>
      <c r="I33" s="80">
        <f t="shared" si="10"/>
        <v>-5.5019670212894001E-2</v>
      </c>
      <c r="J33" s="79">
        <f>SUM(J27:J32)</f>
        <v>15509709.239999998</v>
      </c>
      <c r="K33" s="79">
        <f t="shared" si="11"/>
        <v>-3830872.7699999996</v>
      </c>
      <c r="L33" s="80">
        <f t="shared" si="12"/>
        <v>-0.2469983615244099</v>
      </c>
      <c r="N33" s="81">
        <f>SUM(N27:N32)</f>
        <v>312968.79579999996</v>
      </c>
      <c r="O33" s="81">
        <f>SUM(O27:O32)</f>
        <v>371786.05450000003</v>
      </c>
      <c r="P33" s="81">
        <f t="shared" si="14"/>
        <v>-58817.258700000064</v>
      </c>
      <c r="Q33" s="80">
        <f t="shared" si="15"/>
        <v>-0.15820189592399048</v>
      </c>
      <c r="R33" s="81">
        <f>SUM(R27:R32)</f>
        <v>417644.46580000001</v>
      </c>
      <c r="S33" s="81">
        <f t="shared" si="16"/>
        <v>-104675.67000000004</v>
      </c>
      <c r="T33" s="80">
        <f t="shared" si="17"/>
        <v>-0.25063344201028326</v>
      </c>
    </row>
    <row r="36" spans="1:20" ht="15" customHeight="1"/>
    <row r="37" spans="1:20" ht="14.25" customHeight="1">
      <c r="F37" s="311" t="s">
        <v>46</v>
      </c>
      <c r="G37" s="311"/>
      <c r="H37" s="311"/>
      <c r="I37" s="311"/>
      <c r="J37" s="311"/>
      <c r="K37" s="311"/>
      <c r="L37" s="311"/>
      <c r="M37" s="311"/>
    </row>
    <row r="38" spans="1:20" ht="15" customHeight="1">
      <c r="C38" s="64" t="s">
        <v>64</v>
      </c>
      <c r="F38" s="312" t="s">
        <v>2</v>
      </c>
      <c r="G38" s="312"/>
      <c r="H38" s="312"/>
      <c r="I38" s="312"/>
      <c r="J38" s="313" t="s">
        <v>4</v>
      </c>
      <c r="K38" s="313"/>
      <c r="L38" s="313"/>
      <c r="M38" s="313"/>
    </row>
    <row r="39" spans="1:20" ht="14.25" customHeight="1">
      <c r="A39" s="67" t="s">
        <v>65</v>
      </c>
      <c r="B39" s="82" t="s">
        <v>66</v>
      </c>
      <c r="C39" s="82" t="s">
        <v>67</v>
      </c>
      <c r="D39" s="82" t="s">
        <v>68</v>
      </c>
      <c r="E39" s="83" t="s">
        <v>69</v>
      </c>
      <c r="F39" s="84" t="s">
        <v>53</v>
      </c>
      <c r="G39" s="85">
        <v>2020</v>
      </c>
      <c r="H39" s="86" t="s">
        <v>70</v>
      </c>
      <c r="I39" s="9" t="s">
        <v>9</v>
      </c>
      <c r="J39" s="19" t="s">
        <v>53</v>
      </c>
      <c r="K39" s="87">
        <v>2020</v>
      </c>
      <c r="L39" s="88" t="s">
        <v>70</v>
      </c>
      <c r="M39" s="89" t="s">
        <v>9</v>
      </c>
    </row>
    <row r="40" spans="1:20" ht="14.25" customHeight="1">
      <c r="A40" s="90">
        <v>1</v>
      </c>
      <c r="B40" s="55" t="s">
        <v>71</v>
      </c>
      <c r="C40" s="55" t="s">
        <v>72</v>
      </c>
      <c r="D40" s="55" t="s">
        <v>73</v>
      </c>
      <c r="E40" s="55" t="s">
        <v>74</v>
      </c>
      <c r="F40" s="59">
        <v>288.75</v>
      </c>
      <c r="G40" s="59">
        <v>40</v>
      </c>
      <c r="H40" s="59">
        <v>-248.75</v>
      </c>
      <c r="I40" s="91">
        <v>-0.86147186147186205</v>
      </c>
      <c r="J40" s="92">
        <v>37349.668124999997</v>
      </c>
      <c r="K40" s="92">
        <v>4732.22</v>
      </c>
      <c r="L40" s="92">
        <v>-32617.448124999999</v>
      </c>
      <c r="M40" s="91">
        <v>-0.87329954354179395</v>
      </c>
    </row>
    <row r="41" spans="1:20" ht="14.25" customHeight="1">
      <c r="A41" s="90">
        <v>1</v>
      </c>
      <c r="B41" s="55" t="s">
        <v>75</v>
      </c>
      <c r="C41" s="55" t="s">
        <v>76</v>
      </c>
      <c r="D41" s="55" t="s">
        <v>77</v>
      </c>
      <c r="E41" s="55" t="s">
        <v>78</v>
      </c>
      <c r="F41" s="59">
        <v>84</v>
      </c>
      <c r="G41" s="59">
        <v>0</v>
      </c>
      <c r="H41" s="59">
        <v>-84</v>
      </c>
      <c r="I41" s="91">
        <v>-1</v>
      </c>
      <c r="J41" s="92">
        <v>21388.5</v>
      </c>
      <c r="K41" s="92">
        <v>0</v>
      </c>
      <c r="L41" s="92">
        <v>-21388.5</v>
      </c>
      <c r="M41" s="91">
        <v>-1</v>
      </c>
    </row>
    <row r="42" spans="1:20" ht="14.25" customHeight="1">
      <c r="A42" s="90">
        <v>1</v>
      </c>
      <c r="B42" s="55" t="s">
        <v>79</v>
      </c>
      <c r="C42" s="55" t="s">
        <v>80</v>
      </c>
      <c r="D42" s="55" t="s">
        <v>77</v>
      </c>
      <c r="E42" s="55" t="s">
        <v>78</v>
      </c>
      <c r="F42" s="59">
        <v>42</v>
      </c>
      <c r="G42" s="59">
        <v>0</v>
      </c>
      <c r="H42" s="59">
        <v>-42</v>
      </c>
      <c r="I42" s="91">
        <v>-1</v>
      </c>
      <c r="J42" s="92">
        <v>12276.999</v>
      </c>
      <c r="K42" s="92">
        <v>0</v>
      </c>
      <c r="L42" s="92">
        <v>-12276.999</v>
      </c>
      <c r="M42" s="91">
        <v>-1</v>
      </c>
    </row>
    <row r="43" spans="1:20" ht="14.25" customHeight="1">
      <c r="A43" s="90">
        <v>1</v>
      </c>
      <c r="B43" s="55" t="s">
        <v>81</v>
      </c>
      <c r="C43" s="55" t="s">
        <v>82</v>
      </c>
      <c r="D43" s="55" t="s">
        <v>77</v>
      </c>
      <c r="E43" s="55" t="s">
        <v>78</v>
      </c>
      <c r="F43" s="59">
        <v>42</v>
      </c>
      <c r="G43" s="59">
        <v>0</v>
      </c>
      <c r="H43" s="59">
        <v>-42</v>
      </c>
      <c r="I43" s="91">
        <v>-1</v>
      </c>
      <c r="J43" s="92">
        <v>12276.999</v>
      </c>
      <c r="K43" s="92">
        <v>0</v>
      </c>
      <c r="L43" s="92">
        <v>-12276.999</v>
      </c>
      <c r="M43" s="91">
        <v>-1</v>
      </c>
    </row>
    <row r="44" spans="1:20" ht="14.25" customHeight="1">
      <c r="A44" s="90">
        <v>1</v>
      </c>
      <c r="B44" s="55" t="s">
        <v>83</v>
      </c>
      <c r="C44" s="55" t="s">
        <v>84</v>
      </c>
      <c r="D44" s="55" t="s">
        <v>77</v>
      </c>
      <c r="E44" s="55" t="s">
        <v>78</v>
      </c>
      <c r="F44" s="59">
        <v>31.5</v>
      </c>
      <c r="G44" s="59">
        <v>0</v>
      </c>
      <c r="H44" s="59">
        <v>-31.5</v>
      </c>
      <c r="I44" s="91">
        <v>-1</v>
      </c>
      <c r="J44" s="92">
        <v>9207.7492500000008</v>
      </c>
      <c r="K44" s="92">
        <v>0</v>
      </c>
      <c r="L44" s="92">
        <v>-9207.7492500000008</v>
      </c>
      <c r="M44" s="91">
        <v>-1</v>
      </c>
    </row>
    <row r="45" spans="1:20" ht="14.25" customHeight="1">
      <c r="A45" s="90">
        <v>1</v>
      </c>
      <c r="B45" s="55" t="s">
        <v>85</v>
      </c>
      <c r="C45" s="55" t="s">
        <v>86</v>
      </c>
      <c r="D45" s="55" t="s">
        <v>77</v>
      </c>
      <c r="E45" s="55" t="s">
        <v>78</v>
      </c>
      <c r="F45" s="59">
        <v>21</v>
      </c>
      <c r="G45" s="59">
        <v>0</v>
      </c>
      <c r="H45" s="59">
        <v>-21</v>
      </c>
      <c r="I45" s="91">
        <v>-1</v>
      </c>
      <c r="J45" s="92">
        <v>6288.2190000000001</v>
      </c>
      <c r="K45" s="92">
        <v>0</v>
      </c>
      <c r="L45" s="92">
        <v>-6288.2190000000001</v>
      </c>
      <c r="M45" s="91">
        <v>-1</v>
      </c>
    </row>
    <row r="46" spans="1:20" ht="14.25" customHeight="1">
      <c r="A46" s="90">
        <v>1</v>
      </c>
      <c r="B46" s="55" t="s">
        <v>87</v>
      </c>
      <c r="C46" s="55" t="s">
        <v>88</v>
      </c>
      <c r="D46" s="55" t="s">
        <v>77</v>
      </c>
      <c r="E46" s="55" t="s">
        <v>78</v>
      </c>
      <c r="F46" s="59">
        <v>10.5</v>
      </c>
      <c r="G46" s="59">
        <v>0</v>
      </c>
      <c r="H46" s="59">
        <v>-10.5</v>
      </c>
      <c r="I46" s="91">
        <v>-1</v>
      </c>
      <c r="J46" s="92">
        <v>3069.2497499999999</v>
      </c>
      <c r="K46" s="92">
        <v>0</v>
      </c>
      <c r="L46" s="92">
        <v>-3069.2497499999999</v>
      </c>
      <c r="M46" s="91">
        <v>-1</v>
      </c>
    </row>
    <row r="47" spans="1:20" ht="14.25" customHeight="1">
      <c r="A47" s="90">
        <v>1</v>
      </c>
      <c r="B47" s="55" t="s">
        <v>89</v>
      </c>
      <c r="C47" s="55" t="s">
        <v>90</v>
      </c>
      <c r="D47" s="55" t="s">
        <v>77</v>
      </c>
      <c r="E47" s="55" t="s">
        <v>78</v>
      </c>
      <c r="F47" s="59">
        <v>5.25</v>
      </c>
      <c r="G47" s="59">
        <v>2</v>
      </c>
      <c r="H47" s="59">
        <v>-3.25</v>
      </c>
      <c r="I47" s="91">
        <v>-0.61904761904761896</v>
      </c>
      <c r="J47" s="92">
        <v>1572.05475</v>
      </c>
      <c r="K47" s="92">
        <v>549.17999999999995</v>
      </c>
      <c r="L47" s="92">
        <v>-1022.8747499999999</v>
      </c>
      <c r="M47" s="91">
        <v>-0.650661021825099</v>
      </c>
    </row>
    <row r="48" spans="1:20" ht="14.25" customHeight="1">
      <c r="A48" s="90">
        <v>1</v>
      </c>
      <c r="B48" s="55" t="s">
        <v>85</v>
      </c>
      <c r="C48" s="55" t="s">
        <v>86</v>
      </c>
      <c r="D48" s="55" t="s">
        <v>91</v>
      </c>
      <c r="E48" s="55" t="s">
        <v>92</v>
      </c>
      <c r="F48" s="59">
        <v>0</v>
      </c>
      <c r="G48" s="59">
        <v>2.15</v>
      </c>
      <c r="H48" s="59">
        <v>2.15</v>
      </c>
      <c r="I48" s="91">
        <v>0</v>
      </c>
      <c r="J48" s="92">
        <v>0</v>
      </c>
      <c r="K48" s="92">
        <v>604.37</v>
      </c>
      <c r="L48" s="92">
        <v>604.37</v>
      </c>
      <c r="M48" s="91">
        <v>0</v>
      </c>
    </row>
    <row r="49" spans="1:13" ht="14.25" customHeight="1">
      <c r="A49" s="90">
        <v>1</v>
      </c>
      <c r="B49" s="55" t="s">
        <v>89</v>
      </c>
      <c r="C49" s="55" t="s">
        <v>90</v>
      </c>
      <c r="D49" s="55" t="s">
        <v>91</v>
      </c>
      <c r="E49" s="55" t="s">
        <v>92</v>
      </c>
      <c r="F49" s="59">
        <v>0</v>
      </c>
      <c r="G49" s="59">
        <v>10</v>
      </c>
      <c r="H49" s="59">
        <v>10</v>
      </c>
      <c r="I49" s="91">
        <v>0</v>
      </c>
      <c r="J49" s="92">
        <v>0</v>
      </c>
      <c r="K49" s="92">
        <v>2740.93</v>
      </c>
      <c r="L49" s="92">
        <v>2740.93</v>
      </c>
      <c r="M49" s="91">
        <v>0</v>
      </c>
    </row>
    <row r="50" spans="1:13" ht="14.25" customHeight="1">
      <c r="A50" s="90">
        <v>1</v>
      </c>
      <c r="B50" s="55" t="s">
        <v>87</v>
      </c>
      <c r="C50" s="55" t="s">
        <v>88</v>
      </c>
      <c r="D50" s="55" t="s">
        <v>73</v>
      </c>
      <c r="E50" s="55" t="s">
        <v>74</v>
      </c>
      <c r="F50" s="59">
        <v>630</v>
      </c>
      <c r="G50" s="59">
        <v>780</v>
      </c>
      <c r="H50" s="59">
        <v>150</v>
      </c>
      <c r="I50" s="91">
        <v>0.238095238095238</v>
      </c>
      <c r="J50" s="92">
        <v>83415.149999999994</v>
      </c>
      <c r="K50" s="92">
        <v>95060.03</v>
      </c>
      <c r="L50" s="92">
        <v>11644.88</v>
      </c>
      <c r="M50" s="91">
        <v>0.139601499248038</v>
      </c>
    </row>
    <row r="51" spans="1:13" ht="14.25" customHeight="1">
      <c r="F51" s="93">
        <f>SUM(F40:F50)</f>
        <v>1155</v>
      </c>
      <c r="G51" s="93">
        <f>SUM(G40:G50)</f>
        <v>834.15</v>
      </c>
      <c r="H51" s="93">
        <f>SUM(H40:H50)</f>
        <v>-320.85000000000002</v>
      </c>
      <c r="I51" s="94">
        <f>H51/F51</f>
        <v>-0.27779220779220781</v>
      </c>
      <c r="J51" s="95">
        <f>SUM(J40:J50)</f>
        <v>186844.58887499996</v>
      </c>
      <c r="K51" s="95">
        <f>SUM(K40:K50)</f>
        <v>103686.73</v>
      </c>
      <c r="L51" s="95">
        <f>SUM(L40:L50)</f>
        <v>-83157.858874999991</v>
      </c>
      <c r="M51" s="94">
        <f>L51/J51</f>
        <v>-0.44506431454984791</v>
      </c>
    </row>
    <row r="54" spans="1:13" ht="15" customHeight="1"/>
    <row r="55" spans="1:13" ht="14.25" customHeight="1">
      <c r="F55" s="311" t="s">
        <v>46</v>
      </c>
      <c r="G55" s="311"/>
      <c r="H55" s="311"/>
      <c r="I55" s="311"/>
      <c r="J55" s="311"/>
      <c r="K55" s="311"/>
      <c r="L55" s="311"/>
      <c r="M55" s="311"/>
    </row>
    <row r="56" spans="1:13" ht="15" customHeight="1">
      <c r="C56" s="64" t="s">
        <v>93</v>
      </c>
      <c r="F56" s="312" t="s">
        <v>2</v>
      </c>
      <c r="G56" s="312"/>
      <c r="H56" s="312"/>
      <c r="I56" s="312"/>
      <c r="J56" s="313" t="s">
        <v>4</v>
      </c>
      <c r="K56" s="313"/>
      <c r="L56" s="313"/>
      <c r="M56" s="313"/>
    </row>
    <row r="57" spans="1:13" ht="14.25" customHeight="1">
      <c r="A57" s="67" t="s">
        <v>65</v>
      </c>
      <c r="B57" s="82" t="s">
        <v>66</v>
      </c>
      <c r="C57" s="82" t="s">
        <v>67</v>
      </c>
      <c r="D57" s="82" t="s">
        <v>68</v>
      </c>
      <c r="E57" s="83" t="s">
        <v>69</v>
      </c>
      <c r="F57" s="84" t="s">
        <v>53</v>
      </c>
      <c r="G57" s="85">
        <v>2020</v>
      </c>
      <c r="H57" s="86" t="s">
        <v>70</v>
      </c>
      <c r="I57" s="9" t="s">
        <v>9</v>
      </c>
      <c r="J57" s="19" t="s">
        <v>53</v>
      </c>
      <c r="K57" s="87">
        <v>2020</v>
      </c>
      <c r="L57" s="88" t="s">
        <v>70</v>
      </c>
      <c r="M57" s="89" t="s">
        <v>9</v>
      </c>
    </row>
    <row r="58" spans="1:13" ht="14.25" customHeight="1">
      <c r="A58" s="90">
        <v>2</v>
      </c>
      <c r="B58" s="55" t="s">
        <v>94</v>
      </c>
      <c r="C58" s="55" t="s">
        <v>95</v>
      </c>
      <c r="D58" s="55" t="s">
        <v>77</v>
      </c>
      <c r="E58" s="55" t="s">
        <v>78</v>
      </c>
      <c r="F58" s="59">
        <v>20</v>
      </c>
      <c r="G58" s="59">
        <v>0</v>
      </c>
      <c r="H58" s="59">
        <v>-20</v>
      </c>
      <c r="I58" s="91">
        <v>-1</v>
      </c>
      <c r="J58" s="92">
        <v>5846.19</v>
      </c>
      <c r="K58" s="92">
        <v>0</v>
      </c>
      <c r="L58" s="92">
        <v>-5846.19</v>
      </c>
      <c r="M58" s="91">
        <v>-1</v>
      </c>
    </row>
    <row r="59" spans="1:13" ht="14.25" customHeight="1">
      <c r="F59" s="93">
        <f>SUM(F58)</f>
        <v>20</v>
      </c>
      <c r="G59" s="93">
        <f>SUM(G58)</f>
        <v>0</v>
      </c>
      <c r="H59" s="93">
        <f>SUM(H58)</f>
        <v>-20</v>
      </c>
      <c r="I59" s="94">
        <f>H59/F59</f>
        <v>-1</v>
      </c>
      <c r="J59" s="95">
        <f>SUM(J58)</f>
        <v>5846.19</v>
      </c>
      <c r="K59" s="95">
        <f>SUM(K58)</f>
        <v>0</v>
      </c>
      <c r="L59" s="95">
        <f>SUM(L58)</f>
        <v>-5846.19</v>
      </c>
      <c r="M59" s="94">
        <f>L59/J59</f>
        <v>-1</v>
      </c>
    </row>
    <row r="62" spans="1:13" ht="15" customHeight="1"/>
    <row r="63" spans="1:13" ht="14.25" customHeight="1">
      <c r="F63" s="311" t="s">
        <v>46</v>
      </c>
      <c r="G63" s="311"/>
      <c r="H63" s="311"/>
      <c r="I63" s="311"/>
      <c r="J63" s="311"/>
      <c r="K63" s="311"/>
      <c r="L63" s="311"/>
      <c r="M63" s="311"/>
    </row>
    <row r="64" spans="1:13" ht="15" customHeight="1">
      <c r="C64" s="64" t="s">
        <v>96</v>
      </c>
      <c r="F64" s="312" t="s">
        <v>2</v>
      </c>
      <c r="G64" s="312"/>
      <c r="H64" s="312"/>
      <c r="I64" s="312"/>
      <c r="J64" s="313" t="s">
        <v>4</v>
      </c>
      <c r="K64" s="313"/>
      <c r="L64" s="313"/>
      <c r="M64" s="313"/>
    </row>
    <row r="65" spans="1:13" ht="14.25" customHeight="1">
      <c r="A65" s="67" t="s">
        <v>65</v>
      </c>
      <c r="B65" s="82" t="s">
        <v>66</v>
      </c>
      <c r="C65" s="82" t="s">
        <v>67</v>
      </c>
      <c r="D65" s="82" t="s">
        <v>68</v>
      </c>
      <c r="E65" s="83" t="s">
        <v>69</v>
      </c>
      <c r="F65" s="84" t="s">
        <v>53</v>
      </c>
      <c r="G65" s="85">
        <v>2020</v>
      </c>
      <c r="H65" s="86" t="s">
        <v>70</v>
      </c>
      <c r="I65" s="9" t="s">
        <v>9</v>
      </c>
      <c r="J65" s="19" t="s">
        <v>53</v>
      </c>
      <c r="K65" s="87">
        <v>2020</v>
      </c>
      <c r="L65" s="88" t="s">
        <v>70</v>
      </c>
      <c r="M65" s="89" t="s">
        <v>9</v>
      </c>
    </row>
    <row r="66" spans="1:13" ht="14.25" customHeight="1">
      <c r="A66" s="90">
        <v>3</v>
      </c>
      <c r="B66" s="55" t="s">
        <v>97</v>
      </c>
      <c r="C66" s="55" t="s">
        <v>98</v>
      </c>
      <c r="D66" s="55" t="s">
        <v>77</v>
      </c>
      <c r="E66" s="55" t="s">
        <v>78</v>
      </c>
      <c r="F66" s="59">
        <v>40</v>
      </c>
      <c r="G66" s="59">
        <v>0</v>
      </c>
      <c r="H66" s="59">
        <v>-40</v>
      </c>
      <c r="I66" s="91">
        <v>-1</v>
      </c>
      <c r="J66" s="92">
        <v>11692.38</v>
      </c>
      <c r="K66" s="92">
        <v>0</v>
      </c>
      <c r="L66" s="92">
        <v>-11692.38</v>
      </c>
      <c r="M66" s="91">
        <v>-1</v>
      </c>
    </row>
    <row r="67" spans="1:13" ht="14.25" customHeight="1">
      <c r="A67" s="90">
        <v>3</v>
      </c>
      <c r="B67" s="55" t="s">
        <v>99</v>
      </c>
      <c r="C67" s="55" t="s">
        <v>100</v>
      </c>
      <c r="D67" s="55" t="s">
        <v>77</v>
      </c>
      <c r="E67" s="55" t="s">
        <v>78</v>
      </c>
      <c r="F67" s="59">
        <v>40</v>
      </c>
      <c r="G67" s="59">
        <v>0</v>
      </c>
      <c r="H67" s="59">
        <v>-40</v>
      </c>
      <c r="I67" s="91">
        <v>-1</v>
      </c>
      <c r="J67" s="92">
        <v>11692.38</v>
      </c>
      <c r="K67" s="92">
        <v>0</v>
      </c>
      <c r="L67" s="92">
        <v>-11692.38</v>
      </c>
      <c r="M67" s="91">
        <v>-1</v>
      </c>
    </row>
    <row r="68" spans="1:13" ht="14.25" customHeight="1">
      <c r="A68" s="90">
        <v>3</v>
      </c>
      <c r="B68" s="55" t="s">
        <v>101</v>
      </c>
      <c r="C68" s="55" t="s">
        <v>102</v>
      </c>
      <c r="D68" s="55" t="s">
        <v>73</v>
      </c>
      <c r="E68" s="55" t="s">
        <v>74</v>
      </c>
      <c r="F68" s="59">
        <v>25</v>
      </c>
      <c r="G68" s="59">
        <v>0</v>
      </c>
      <c r="H68" s="59">
        <v>-25</v>
      </c>
      <c r="I68" s="91">
        <v>-1</v>
      </c>
      <c r="J68" s="92">
        <v>3310.125</v>
      </c>
      <c r="K68" s="92">
        <v>0</v>
      </c>
      <c r="L68" s="92">
        <v>-3310.125</v>
      </c>
      <c r="M68" s="91">
        <v>-1</v>
      </c>
    </row>
    <row r="69" spans="1:13" ht="14.25" customHeight="1">
      <c r="A69" s="90">
        <v>3</v>
      </c>
      <c r="B69" s="55" t="s">
        <v>103</v>
      </c>
      <c r="C69" s="55" t="s">
        <v>104</v>
      </c>
      <c r="D69" s="55" t="s">
        <v>73</v>
      </c>
      <c r="E69" s="55" t="s">
        <v>105</v>
      </c>
      <c r="F69" s="59">
        <v>20</v>
      </c>
      <c r="G69" s="59">
        <v>0</v>
      </c>
      <c r="H69" s="59">
        <v>-20</v>
      </c>
      <c r="I69" s="91">
        <v>-1</v>
      </c>
      <c r="J69" s="92">
        <v>2648.1</v>
      </c>
      <c r="K69" s="92">
        <v>0</v>
      </c>
      <c r="L69" s="92">
        <v>-2648.1</v>
      </c>
      <c r="M69" s="91">
        <v>-1</v>
      </c>
    </row>
    <row r="70" spans="1:13" ht="14.25" customHeight="1">
      <c r="A70" s="90">
        <v>3</v>
      </c>
      <c r="B70" s="55" t="s">
        <v>106</v>
      </c>
      <c r="C70" s="55" t="s">
        <v>107</v>
      </c>
      <c r="D70" s="55" t="s">
        <v>77</v>
      </c>
      <c r="E70" s="55" t="s">
        <v>78</v>
      </c>
      <c r="F70" s="59">
        <v>5</v>
      </c>
      <c r="G70" s="59">
        <v>0</v>
      </c>
      <c r="H70" s="59">
        <v>-5</v>
      </c>
      <c r="I70" s="91">
        <v>-1</v>
      </c>
      <c r="J70" s="92">
        <v>1461.5474999999999</v>
      </c>
      <c r="K70" s="92">
        <v>0</v>
      </c>
      <c r="L70" s="92">
        <v>-1461.5474999999999</v>
      </c>
      <c r="M70" s="91">
        <v>-1</v>
      </c>
    </row>
    <row r="71" spans="1:13" ht="14.25" customHeight="1">
      <c r="A71" s="90">
        <v>3</v>
      </c>
      <c r="B71" s="55" t="s">
        <v>108</v>
      </c>
      <c r="C71" s="55" t="s">
        <v>109</v>
      </c>
      <c r="D71" s="55" t="s">
        <v>77</v>
      </c>
      <c r="E71" s="55" t="s">
        <v>78</v>
      </c>
      <c r="F71" s="59">
        <v>2</v>
      </c>
      <c r="G71" s="59">
        <v>0</v>
      </c>
      <c r="H71" s="59">
        <v>-2</v>
      </c>
      <c r="I71" s="91">
        <v>-1</v>
      </c>
      <c r="J71" s="92">
        <v>584.61900000000003</v>
      </c>
      <c r="K71" s="92">
        <v>0</v>
      </c>
      <c r="L71" s="92">
        <v>-584.61900000000003</v>
      </c>
      <c r="M71" s="91">
        <v>-1</v>
      </c>
    </row>
    <row r="72" spans="1:13" ht="14.25" customHeight="1">
      <c r="A72" s="90">
        <v>3</v>
      </c>
      <c r="B72" s="55" t="s">
        <v>110</v>
      </c>
      <c r="C72" s="55" t="s">
        <v>111</v>
      </c>
      <c r="D72" s="55" t="s">
        <v>73</v>
      </c>
      <c r="E72" s="55" t="s">
        <v>105</v>
      </c>
      <c r="F72" s="59">
        <v>0</v>
      </c>
      <c r="G72" s="59">
        <v>20</v>
      </c>
      <c r="H72" s="59">
        <v>20</v>
      </c>
      <c r="I72" s="91">
        <v>0</v>
      </c>
      <c r="J72" s="92">
        <v>0</v>
      </c>
      <c r="K72" s="92">
        <v>2417.38</v>
      </c>
      <c r="L72" s="92">
        <v>2417.38</v>
      </c>
      <c r="M72" s="91">
        <v>0</v>
      </c>
    </row>
    <row r="73" spans="1:13" ht="14.25" customHeight="1">
      <c r="F73" s="93">
        <f>SUM(F66:F72)</f>
        <v>132</v>
      </c>
      <c r="G73" s="93">
        <f>SUM(G66:G72)</f>
        <v>20</v>
      </c>
      <c r="H73" s="93">
        <f>SUM(H66:H72)</f>
        <v>-112</v>
      </c>
      <c r="I73" s="94">
        <f>H73/F73</f>
        <v>-0.84848484848484851</v>
      </c>
      <c r="J73" s="95">
        <f>SUM(J66:J72)</f>
        <v>31389.151499999996</v>
      </c>
      <c r="K73" s="95">
        <f>SUM(K66:K72)</f>
        <v>2417.38</v>
      </c>
      <c r="L73" s="95">
        <f>SUM(L66:L72)</f>
        <v>-28971.771499999995</v>
      </c>
      <c r="M73" s="94">
        <f>L73/J73</f>
        <v>-0.92298676821512682</v>
      </c>
    </row>
    <row r="76" spans="1:13" ht="15" customHeight="1"/>
    <row r="77" spans="1:13" ht="14.25" customHeight="1">
      <c r="F77" s="311" t="s">
        <v>46</v>
      </c>
      <c r="G77" s="311"/>
      <c r="H77" s="311"/>
      <c r="I77" s="311"/>
      <c r="J77" s="311"/>
      <c r="K77" s="311"/>
      <c r="L77" s="311"/>
      <c r="M77" s="311"/>
    </row>
    <row r="78" spans="1:13" ht="15" customHeight="1">
      <c r="C78" s="64" t="s">
        <v>41</v>
      </c>
      <c r="F78" s="312" t="s">
        <v>2</v>
      </c>
      <c r="G78" s="312"/>
      <c r="H78" s="312"/>
      <c r="I78" s="312"/>
      <c r="J78" s="313" t="s">
        <v>4</v>
      </c>
      <c r="K78" s="313"/>
      <c r="L78" s="313"/>
      <c r="M78" s="313"/>
    </row>
    <row r="79" spans="1:13" ht="14.25" customHeight="1">
      <c r="A79" s="67" t="s">
        <v>65</v>
      </c>
      <c r="B79" s="82" t="s">
        <v>66</v>
      </c>
      <c r="C79" s="82" t="s">
        <v>67</v>
      </c>
      <c r="D79" s="82" t="s">
        <v>68</v>
      </c>
      <c r="E79" s="83" t="s">
        <v>69</v>
      </c>
      <c r="F79" s="84" t="s">
        <v>53</v>
      </c>
      <c r="G79" s="85">
        <v>2020</v>
      </c>
      <c r="H79" s="86" t="s">
        <v>70</v>
      </c>
      <c r="I79" s="9" t="s">
        <v>9</v>
      </c>
      <c r="J79" s="19" t="s">
        <v>53</v>
      </c>
      <c r="K79" s="87">
        <v>2020</v>
      </c>
      <c r="L79" s="88" t="s">
        <v>70</v>
      </c>
      <c r="M79" s="89" t="s">
        <v>9</v>
      </c>
    </row>
    <row r="80" spans="1:13" ht="14.25" customHeight="1">
      <c r="A80" s="90">
        <v>6</v>
      </c>
      <c r="B80" s="55" t="s">
        <v>112</v>
      </c>
      <c r="C80" s="55" t="s">
        <v>113</v>
      </c>
      <c r="D80" s="55" t="s">
        <v>77</v>
      </c>
      <c r="E80" s="55" t="s">
        <v>78</v>
      </c>
      <c r="F80" s="59">
        <v>100</v>
      </c>
      <c r="G80" s="59">
        <v>0</v>
      </c>
      <c r="H80" s="59">
        <v>-100</v>
      </c>
      <c r="I80" s="91">
        <v>-1</v>
      </c>
      <c r="J80" s="92">
        <v>29230.95</v>
      </c>
      <c r="K80" s="92">
        <v>0</v>
      </c>
      <c r="L80" s="92">
        <v>-29230.95</v>
      </c>
      <c r="M80" s="91">
        <v>-1</v>
      </c>
    </row>
    <row r="81" spans="1:13" ht="14.25" customHeight="1">
      <c r="A81" s="90">
        <v>6</v>
      </c>
      <c r="B81" s="55" t="s">
        <v>114</v>
      </c>
      <c r="C81" s="55" t="s">
        <v>115</v>
      </c>
      <c r="D81" s="55" t="s">
        <v>73</v>
      </c>
      <c r="E81" s="55" t="s">
        <v>74</v>
      </c>
      <c r="F81" s="59">
        <v>180</v>
      </c>
      <c r="G81" s="59">
        <v>40</v>
      </c>
      <c r="H81" s="59">
        <v>-140</v>
      </c>
      <c r="I81" s="91">
        <v>-0.77777777777777801</v>
      </c>
      <c r="J81" s="92">
        <v>22916.25</v>
      </c>
      <c r="K81" s="92">
        <v>4666.13</v>
      </c>
      <c r="L81" s="92">
        <v>-18250.12</v>
      </c>
      <c r="M81" s="91">
        <v>-0.79638335242459002</v>
      </c>
    </row>
    <row r="82" spans="1:13" ht="14.25" customHeight="1">
      <c r="A82" s="90">
        <v>6</v>
      </c>
      <c r="B82" s="55" t="s">
        <v>116</v>
      </c>
      <c r="C82" s="55" t="s">
        <v>117</v>
      </c>
      <c r="D82" s="55" t="s">
        <v>77</v>
      </c>
      <c r="E82" s="55" t="s">
        <v>78</v>
      </c>
      <c r="F82" s="59">
        <v>60</v>
      </c>
      <c r="G82" s="59">
        <v>0</v>
      </c>
      <c r="H82" s="59">
        <v>-60</v>
      </c>
      <c r="I82" s="91">
        <v>-1</v>
      </c>
      <c r="J82" s="92">
        <v>17538.57</v>
      </c>
      <c r="K82" s="92">
        <v>0</v>
      </c>
      <c r="L82" s="92">
        <v>-17538.57</v>
      </c>
      <c r="M82" s="91">
        <v>-1</v>
      </c>
    </row>
    <row r="83" spans="1:13" ht="14.25" customHeight="1">
      <c r="A83" s="90">
        <v>6</v>
      </c>
      <c r="B83" s="55" t="s">
        <v>118</v>
      </c>
      <c r="C83" s="55" t="s">
        <v>119</v>
      </c>
      <c r="D83" s="55" t="s">
        <v>77</v>
      </c>
      <c r="E83" s="55" t="s">
        <v>78</v>
      </c>
      <c r="F83" s="59">
        <v>10</v>
      </c>
      <c r="G83" s="59">
        <v>3</v>
      </c>
      <c r="H83" s="59">
        <v>-7</v>
      </c>
      <c r="I83" s="91">
        <v>-0.7</v>
      </c>
      <c r="J83" s="92">
        <v>2923.0949999999998</v>
      </c>
      <c r="K83" s="92">
        <v>835.05</v>
      </c>
      <c r="L83" s="92">
        <v>-2088.0450000000001</v>
      </c>
      <c r="M83" s="91">
        <v>-0.71432676666341699</v>
      </c>
    </row>
    <row r="84" spans="1:13" ht="14.25" customHeight="1">
      <c r="A84" s="90">
        <v>6</v>
      </c>
      <c r="B84" s="55" t="s">
        <v>120</v>
      </c>
      <c r="C84" s="55" t="s">
        <v>121</v>
      </c>
      <c r="D84" s="55" t="s">
        <v>77</v>
      </c>
      <c r="E84" s="55" t="s">
        <v>78</v>
      </c>
      <c r="F84" s="59">
        <v>5</v>
      </c>
      <c r="G84" s="59">
        <v>0</v>
      </c>
      <c r="H84" s="59">
        <v>-5</v>
      </c>
      <c r="I84" s="91">
        <v>-1</v>
      </c>
      <c r="J84" s="92">
        <v>1461.5474999999999</v>
      </c>
      <c r="K84" s="92">
        <v>0</v>
      </c>
      <c r="L84" s="92">
        <v>-1461.5474999999999</v>
      </c>
      <c r="M84" s="91">
        <v>-1</v>
      </c>
    </row>
    <row r="85" spans="1:13" ht="14.25" customHeight="1">
      <c r="A85" s="90">
        <v>6</v>
      </c>
      <c r="B85" s="55" t="s">
        <v>122</v>
      </c>
      <c r="C85" s="55" t="s">
        <v>123</v>
      </c>
      <c r="D85" s="55" t="s">
        <v>77</v>
      </c>
      <c r="E85" s="55" t="s">
        <v>78</v>
      </c>
      <c r="F85" s="59">
        <v>5</v>
      </c>
      <c r="G85" s="59">
        <v>0</v>
      </c>
      <c r="H85" s="59">
        <v>-5</v>
      </c>
      <c r="I85" s="91">
        <v>-1</v>
      </c>
      <c r="J85" s="92">
        <v>1427.9369999999999</v>
      </c>
      <c r="K85" s="92">
        <v>0</v>
      </c>
      <c r="L85" s="92">
        <v>-1427.9369999999999</v>
      </c>
      <c r="M85" s="91">
        <v>-1</v>
      </c>
    </row>
    <row r="86" spans="1:13" ht="14.25" customHeight="1">
      <c r="A86" s="90">
        <v>6</v>
      </c>
      <c r="B86" s="55" t="s">
        <v>116</v>
      </c>
      <c r="C86" s="55" t="s">
        <v>117</v>
      </c>
      <c r="D86" s="55" t="s">
        <v>73</v>
      </c>
      <c r="E86" s="55" t="s">
        <v>74</v>
      </c>
      <c r="F86" s="59">
        <v>150</v>
      </c>
      <c r="G86" s="59">
        <v>160</v>
      </c>
      <c r="H86" s="59">
        <v>10</v>
      </c>
      <c r="I86" s="91">
        <v>6.6666666666666693E-2</v>
      </c>
      <c r="J86" s="92">
        <v>19860.75</v>
      </c>
      <c r="K86" s="92">
        <v>19436.04</v>
      </c>
      <c r="L86" s="92">
        <v>-424.70999999999901</v>
      </c>
      <c r="M86" s="91">
        <v>-2.13843888070692E-2</v>
      </c>
    </row>
    <row r="87" spans="1:13" ht="14.25" customHeight="1">
      <c r="A87" s="90">
        <v>6</v>
      </c>
      <c r="B87" s="55" t="s">
        <v>124</v>
      </c>
      <c r="C87" s="55" t="s">
        <v>125</v>
      </c>
      <c r="D87" s="55" t="s">
        <v>73</v>
      </c>
      <c r="E87" s="55" t="s">
        <v>105</v>
      </c>
      <c r="F87" s="59">
        <v>0</v>
      </c>
      <c r="G87" s="59">
        <v>20</v>
      </c>
      <c r="H87" s="59">
        <v>20</v>
      </c>
      <c r="I87" s="91">
        <v>0</v>
      </c>
      <c r="J87" s="92">
        <v>0</v>
      </c>
      <c r="K87" s="92">
        <v>2423.9499999999998</v>
      </c>
      <c r="L87" s="92">
        <v>2423.9499999999998</v>
      </c>
      <c r="M87" s="91">
        <v>0</v>
      </c>
    </row>
    <row r="88" spans="1:13" ht="14.25" customHeight="1">
      <c r="F88" s="93">
        <f>SUM(F80:F87)</f>
        <v>510</v>
      </c>
      <c r="G88" s="93">
        <f>SUM(G80:G87)</f>
        <v>223</v>
      </c>
      <c r="H88" s="93">
        <f>SUM(H80:H87)</f>
        <v>-287</v>
      </c>
      <c r="I88" s="94">
        <f>H88/F88</f>
        <v>-0.56274509803921569</v>
      </c>
      <c r="J88" s="95">
        <f>SUM(J80:J87)</f>
        <v>95359.099499999997</v>
      </c>
      <c r="K88" s="95">
        <f>SUM(K80:K87)</f>
        <v>27361.170000000002</v>
      </c>
      <c r="L88" s="95">
        <f>SUM(L80:L87)</f>
        <v>-67997.929499999998</v>
      </c>
      <c r="M88" s="94">
        <f>L88/J88</f>
        <v>-0.71307226952158875</v>
      </c>
    </row>
    <row r="91" spans="1:13" ht="15" customHeight="1"/>
    <row r="92" spans="1:13" ht="14.25" customHeight="1">
      <c r="F92" s="311" t="s">
        <v>46</v>
      </c>
      <c r="G92" s="311"/>
      <c r="H92" s="311"/>
      <c r="I92" s="311"/>
      <c r="J92" s="311"/>
      <c r="K92" s="311"/>
      <c r="L92" s="311"/>
      <c r="M92" s="311"/>
    </row>
    <row r="93" spans="1:13" ht="15" customHeight="1">
      <c r="C93" s="64" t="s">
        <v>126</v>
      </c>
      <c r="F93" s="312" t="s">
        <v>2</v>
      </c>
      <c r="G93" s="312"/>
      <c r="H93" s="312"/>
      <c r="I93" s="312"/>
      <c r="J93" s="313" t="s">
        <v>4</v>
      </c>
      <c r="K93" s="313"/>
      <c r="L93" s="313"/>
      <c r="M93" s="313"/>
    </row>
    <row r="94" spans="1:13" ht="14.25" customHeight="1">
      <c r="A94" s="67" t="s">
        <v>65</v>
      </c>
      <c r="B94" s="82" t="s">
        <v>66</v>
      </c>
      <c r="C94" s="82" t="s">
        <v>67</v>
      </c>
      <c r="D94" s="82" t="s">
        <v>68</v>
      </c>
      <c r="E94" s="83" t="s">
        <v>69</v>
      </c>
      <c r="F94" s="84" t="s">
        <v>53</v>
      </c>
      <c r="G94" s="85">
        <v>2020</v>
      </c>
      <c r="H94" s="86" t="s">
        <v>70</v>
      </c>
      <c r="I94" s="9" t="s">
        <v>9</v>
      </c>
      <c r="J94" s="19" t="s">
        <v>53</v>
      </c>
      <c r="K94" s="87">
        <v>2020</v>
      </c>
      <c r="L94" s="88" t="s">
        <v>70</v>
      </c>
      <c r="M94" s="89" t="s">
        <v>9</v>
      </c>
    </row>
    <row r="95" spans="1:13" ht="14.25" customHeight="1">
      <c r="A95" s="90">
        <v>7</v>
      </c>
      <c r="B95" s="55" t="s">
        <v>127</v>
      </c>
      <c r="C95" s="55" t="s">
        <v>128</v>
      </c>
      <c r="D95" s="55" t="s">
        <v>91</v>
      </c>
      <c r="E95" s="55" t="s">
        <v>92</v>
      </c>
      <c r="F95" s="59">
        <v>42</v>
      </c>
      <c r="G95" s="59">
        <v>0</v>
      </c>
      <c r="H95" s="59">
        <v>-42</v>
      </c>
      <c r="I95" s="91">
        <v>-1</v>
      </c>
      <c r="J95" s="92">
        <v>12105.891</v>
      </c>
      <c r="K95" s="92">
        <v>0</v>
      </c>
      <c r="L95" s="92">
        <v>-12105.891</v>
      </c>
      <c r="M95" s="91">
        <v>-1</v>
      </c>
    </row>
    <row r="97" spans="6:13" ht="14.25" customHeight="1">
      <c r="F97" s="93">
        <f>SUM(F95:F96)</f>
        <v>42</v>
      </c>
      <c r="G97" s="93">
        <f>SUM(G95:G96)</f>
        <v>0</v>
      </c>
      <c r="H97" s="93">
        <f>SUM(H95:H96)</f>
        <v>-42</v>
      </c>
      <c r="I97" s="94">
        <f>H97/F97</f>
        <v>-1</v>
      </c>
      <c r="J97" s="95">
        <f>SUM(J95:J96)</f>
        <v>12105.891</v>
      </c>
      <c r="K97" s="95">
        <f>SUM(K95:K96)</f>
        <v>0</v>
      </c>
      <c r="L97" s="95">
        <f>SUM(L95:L96)</f>
        <v>-12105.891</v>
      </c>
      <c r="M97" s="94">
        <f>L97/J97</f>
        <v>-1</v>
      </c>
    </row>
  </sheetData>
  <mergeCells count="21">
    <mergeCell ref="F92:M92"/>
    <mergeCell ref="F93:I93"/>
    <mergeCell ref="J93:M93"/>
    <mergeCell ref="F63:M63"/>
    <mergeCell ref="F64:I64"/>
    <mergeCell ref="J64:M64"/>
    <mergeCell ref="F77:M77"/>
    <mergeCell ref="F78:I78"/>
    <mergeCell ref="J78:M78"/>
    <mergeCell ref="F37:M37"/>
    <mergeCell ref="F38:I38"/>
    <mergeCell ref="J38:M38"/>
    <mergeCell ref="F55:M55"/>
    <mergeCell ref="F56:I56"/>
    <mergeCell ref="J56:M56"/>
    <mergeCell ref="F3:L3"/>
    <mergeCell ref="N3:T3"/>
    <mergeCell ref="F14:L14"/>
    <mergeCell ref="N14:T14"/>
    <mergeCell ref="F25:L25"/>
    <mergeCell ref="N25:T25"/>
  </mergeCells>
  <conditionalFormatting sqref="T27:T32">
    <cfRule type="iconSet" priority="2">
      <iconSet iconSet="3Arrows">
        <cfvo type="percent" val="0"/>
        <cfvo type="num" val="0"/>
        <cfvo type="num" val="0"/>
      </iconSet>
    </cfRule>
  </conditionalFormatting>
  <conditionalFormatting sqref="L27:L32">
    <cfRule type="iconSet" priority="3">
      <iconSet iconSet="3Arrows">
        <cfvo type="percent" val="0"/>
        <cfvo type="num" val="0"/>
        <cfvo type="num" val="0"/>
      </iconSet>
    </cfRule>
  </conditionalFormatting>
  <conditionalFormatting sqref="I27:I32">
    <cfRule type="iconSet" priority="4">
      <iconSet iconSet="3Arrows">
        <cfvo type="percent" val="0"/>
        <cfvo type="num" val="0"/>
        <cfvo type="num" val="0"/>
      </iconSet>
    </cfRule>
  </conditionalFormatting>
  <conditionalFormatting sqref="Q27:Q32">
    <cfRule type="iconSet" priority="5">
      <iconSet iconSet="3Arrows">
        <cfvo type="percent" val="0"/>
        <cfvo type="num" val="0"/>
        <cfvo type="num" val="0"/>
      </iconSet>
    </cfRule>
  </conditionalFormatting>
  <conditionalFormatting sqref="T33">
    <cfRule type="iconSet" priority="6">
      <iconSet iconSet="3Arrows">
        <cfvo type="percent" val="0"/>
        <cfvo type="num" val="0"/>
        <cfvo type="num" val="0"/>
      </iconSet>
    </cfRule>
  </conditionalFormatting>
  <conditionalFormatting sqref="L33">
    <cfRule type="iconSet" priority="7">
      <iconSet iconSet="3Arrows">
        <cfvo type="percent" val="0"/>
        <cfvo type="num" val="0"/>
        <cfvo type="num" val="0"/>
      </iconSet>
    </cfRule>
  </conditionalFormatting>
  <conditionalFormatting sqref="I33">
    <cfRule type="iconSet" priority="8">
      <iconSet iconSet="3Arrows">
        <cfvo type="percent" val="0"/>
        <cfvo type="num" val="0"/>
        <cfvo type="num" val="0"/>
      </iconSet>
    </cfRule>
  </conditionalFormatting>
  <conditionalFormatting sqref="Q33">
    <cfRule type="iconSet" priority="9">
      <iconSet iconSet="3Arrows">
        <cfvo type="percent" val="0"/>
        <cfvo type="num" val="0"/>
        <cfvo type="num" val="0"/>
      </iconSet>
    </cfRule>
  </conditionalFormatting>
  <conditionalFormatting sqref="T16:T21">
    <cfRule type="iconSet" priority="10">
      <iconSet iconSet="3Arrows">
        <cfvo type="percent" val="0"/>
        <cfvo type="num" val="0"/>
        <cfvo type="num" val="0"/>
      </iconSet>
    </cfRule>
  </conditionalFormatting>
  <conditionalFormatting sqref="L16:L21">
    <cfRule type="iconSet" priority="11">
      <iconSet iconSet="3Arrows">
        <cfvo type="percent" val="0"/>
        <cfvo type="num" val="0"/>
        <cfvo type="num" val="0"/>
      </iconSet>
    </cfRule>
  </conditionalFormatting>
  <conditionalFormatting sqref="I16:I21">
    <cfRule type="iconSet" priority="12">
      <iconSet iconSet="3Arrows">
        <cfvo type="percent" val="0"/>
        <cfvo type="num" val="0"/>
        <cfvo type="num" val="0"/>
      </iconSet>
    </cfRule>
  </conditionalFormatting>
  <conditionalFormatting sqref="Q16:Q21">
    <cfRule type="iconSet" priority="13">
      <iconSet iconSet="3Arrows">
        <cfvo type="percent" val="0"/>
        <cfvo type="num" val="0"/>
        <cfvo type="num" val="0"/>
      </iconSet>
    </cfRule>
  </conditionalFormatting>
  <conditionalFormatting sqref="T22">
    <cfRule type="iconSet" priority="14">
      <iconSet iconSet="3Arrows">
        <cfvo type="percent" val="0"/>
        <cfvo type="num" val="0"/>
        <cfvo type="num" val="0"/>
      </iconSet>
    </cfRule>
  </conditionalFormatting>
  <conditionalFormatting sqref="L22">
    <cfRule type="iconSet" priority="15">
      <iconSet iconSet="3Arrows">
        <cfvo type="percent" val="0"/>
        <cfvo type="num" val="0"/>
        <cfvo type="num" val="0"/>
      </iconSet>
    </cfRule>
  </conditionalFormatting>
  <conditionalFormatting sqref="I22">
    <cfRule type="iconSet" priority="16">
      <iconSet iconSet="3Arrows">
        <cfvo type="percent" val="0"/>
        <cfvo type="num" val="0"/>
        <cfvo type="num" val="0"/>
      </iconSet>
    </cfRule>
  </conditionalFormatting>
  <conditionalFormatting sqref="Q22">
    <cfRule type="iconSet" priority="17">
      <iconSet iconSet="3Arrows">
        <cfvo type="percent" val="0"/>
        <cfvo type="num" val="0"/>
        <cfvo type="num" val="0"/>
      </iconSet>
    </cfRule>
  </conditionalFormatting>
  <conditionalFormatting sqref="T5:T10">
    <cfRule type="iconSet" priority="18">
      <iconSet iconSet="3Arrows">
        <cfvo type="percent" val="0"/>
        <cfvo type="num" val="0"/>
        <cfvo type="num" val="0"/>
      </iconSet>
    </cfRule>
  </conditionalFormatting>
  <conditionalFormatting sqref="L5:L10">
    <cfRule type="iconSet" priority="19">
      <iconSet iconSet="3Arrows">
        <cfvo type="percent" val="0"/>
        <cfvo type="num" val="0"/>
        <cfvo type="num" val="0"/>
      </iconSet>
    </cfRule>
  </conditionalFormatting>
  <conditionalFormatting sqref="I5:I10">
    <cfRule type="iconSet" priority="20">
      <iconSet iconSet="3Arrows">
        <cfvo type="percent" val="0"/>
        <cfvo type="num" val="0"/>
        <cfvo type="num" val="0"/>
      </iconSet>
    </cfRule>
  </conditionalFormatting>
  <conditionalFormatting sqref="Q5:Q10">
    <cfRule type="iconSet" priority="21">
      <iconSet iconSet="3Arrows">
        <cfvo type="percent" val="0"/>
        <cfvo type="num" val="0"/>
        <cfvo type="num" val="0"/>
      </iconSet>
    </cfRule>
  </conditionalFormatting>
  <conditionalFormatting sqref="T11">
    <cfRule type="iconSet" priority="22">
      <iconSet iconSet="3Arrows">
        <cfvo type="percent" val="0"/>
        <cfvo type="num" val="0"/>
        <cfvo type="num" val="0"/>
      </iconSet>
    </cfRule>
  </conditionalFormatting>
  <conditionalFormatting sqref="L11">
    <cfRule type="iconSet" priority="23">
      <iconSet iconSet="3Arrows">
        <cfvo type="percent" val="0"/>
        <cfvo type="num" val="0"/>
        <cfvo type="num" val="0"/>
      </iconSet>
    </cfRule>
  </conditionalFormatting>
  <conditionalFormatting sqref="I11">
    <cfRule type="iconSet" priority="24">
      <iconSet iconSet="3Arrows">
        <cfvo type="percent" val="0"/>
        <cfvo type="num" val="0"/>
        <cfvo type="num" val="0"/>
      </iconSet>
    </cfRule>
  </conditionalFormatting>
  <conditionalFormatting sqref="Q11">
    <cfRule type="iconSet" priority="25">
      <iconSet iconSet="3Arrows">
        <cfvo type="percent" val="0"/>
        <cfvo type="num" val="0"/>
        <cfvo type="num" val="0"/>
      </iconSet>
    </cfRule>
  </conditionalFormatting>
  <conditionalFormatting sqref="M86:M87 M9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86:I87 I95">
    <cfRule type="iconSet" priority="27">
      <iconSet iconSet="3Arrows">
        <cfvo type="percent" val="0"/>
        <cfvo type="num" val="0"/>
        <cfvo type="num" val="0"/>
      </iconSet>
    </cfRule>
  </conditionalFormatting>
  <conditionalFormatting sqref="M82">
    <cfRule type="iconSet" priority="28">
      <iconSet iconSet="3Arrows">
        <cfvo type="percent" val="0"/>
        <cfvo type="num" val="0"/>
        <cfvo type="num" val="0"/>
      </iconSet>
    </cfRule>
  </conditionalFormatting>
  <conditionalFormatting sqref="I82">
    <cfRule type="iconSet" priority="29">
      <iconSet iconSet="3Arrows">
        <cfvo type="percent" val="0"/>
        <cfvo type="num" val="0"/>
        <cfvo type="num" val="0"/>
      </iconSet>
    </cfRule>
  </conditionalFormatting>
  <conditionalFormatting sqref="M80:M81 M83:M85">
    <cfRule type="iconSet" priority="30">
      <iconSet iconSet="3Arrows">
        <cfvo type="percent" val="0"/>
        <cfvo type="num" val="0"/>
        <cfvo type="num" val="0"/>
      </iconSet>
    </cfRule>
  </conditionalFormatting>
  <conditionalFormatting sqref="I80:I81 I83:I85">
    <cfRule type="iconSet" priority="31">
      <iconSet iconSet="3Arrows">
        <cfvo type="percent" val="0"/>
        <cfvo type="num" val="0"/>
        <cfvo type="num" val="0"/>
      </iconSet>
    </cfRule>
  </conditionalFormatting>
  <conditionalFormatting sqref="M40:M50 M58 M66:M72">
    <cfRule type="iconSet" priority="32">
      <iconSet iconSet="3Arrows">
        <cfvo type="percent" val="0"/>
        <cfvo type="num" val="0"/>
        <cfvo type="num" val="0"/>
      </iconSet>
    </cfRule>
  </conditionalFormatting>
  <conditionalFormatting sqref="I40:I50 I58 I66:I72">
    <cfRule type="iconSet" priority="33">
      <iconSet iconSet="3Arrows">
        <cfvo type="percent" val="0"/>
        <cfvo type="num" val="0"/>
        <cfvo type="num" val="0"/>
      </iconSet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DD7EE"/>
    <pageSetUpPr fitToPage="1"/>
  </sheetPr>
  <dimension ref="A1:Q177"/>
  <sheetViews>
    <sheetView zoomScaleNormal="100" workbookViewId="0">
      <selection activeCell="M25" sqref="M25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4.17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129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1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130</v>
      </c>
      <c r="C7" s="11">
        <f>'ESSENTIA MAR'!O30</f>
        <v>145029.94320000001</v>
      </c>
      <c r="D7" s="11">
        <f>'ESSENTIA MAR'!N30</f>
        <v>197180.65109999999</v>
      </c>
      <c r="E7" s="11">
        <f>D7-C7</f>
        <v>52150.707899999979</v>
      </c>
      <c r="F7" s="12">
        <f>D7/C7-1</f>
        <v>0.35958579827948234</v>
      </c>
      <c r="G7" s="13">
        <f>'ESSENTIA MAR'!G30</f>
        <v>4337268.89882176</v>
      </c>
      <c r="H7" s="13">
        <f>'ESSENTIA MAR'!F30</f>
        <v>5866628.8799999999</v>
      </c>
      <c r="I7" s="13">
        <f>H7-G7</f>
        <v>1529359.9811782399</v>
      </c>
      <c r="J7" s="12">
        <f>H7/G7-1</f>
        <v>0.35260898432967758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12000</v>
      </c>
      <c r="C11" s="20" t="s">
        <v>22</v>
      </c>
      <c r="D11" s="21">
        <v>0.7</v>
      </c>
      <c r="E11" s="22">
        <f>B11*D11</f>
        <v>8400</v>
      </c>
      <c r="F11" s="23"/>
      <c r="G11" s="20" t="s">
        <v>22</v>
      </c>
      <c r="H11" s="24">
        <f>G7</f>
        <v>4337268.89882176</v>
      </c>
      <c r="I11" s="24">
        <f>H7</f>
        <v>5866628.8799999999</v>
      </c>
      <c r="J11" s="25">
        <f>IFERROR(I11/H11,0)</f>
        <v>1.3526089843296776</v>
      </c>
      <c r="K11" s="26">
        <f>IF(J11&lt;M11,0,J11*$E11)</f>
        <v>11361.915468369292</v>
      </c>
      <c r="M11" s="27">
        <v>0.9</v>
      </c>
    </row>
    <row r="12" spans="1:15" ht="14.25" customHeight="1">
      <c r="A12" s="2"/>
      <c r="B12" s="307"/>
      <c r="C12" s="28" t="s">
        <v>23</v>
      </c>
      <c r="D12" s="21">
        <v>0.12</v>
      </c>
      <c r="E12" s="22">
        <f>B11*D12</f>
        <v>1440</v>
      </c>
      <c r="F12" s="23"/>
      <c r="G12" s="28" t="str">
        <f>C12</f>
        <v>Cierre de 3 pedidos  1000 Kgcon clientes actuales de FMC</v>
      </c>
      <c r="H12" s="12">
        <v>1</v>
      </c>
      <c r="I12" s="12"/>
      <c r="J12" s="12">
        <f>I12/H12</f>
        <v>0</v>
      </c>
      <c r="K12" s="26">
        <f>IF(J12&lt;M12,0,J12*$E12)</f>
        <v>0</v>
      </c>
      <c r="M12" s="27">
        <v>0.8</v>
      </c>
    </row>
    <row r="13" spans="1:15" ht="14.25" customHeight="1">
      <c r="A13" s="2"/>
      <c r="B13" s="307"/>
      <c r="C13" s="28" t="s">
        <v>24</v>
      </c>
      <c r="D13" s="21">
        <v>0.05</v>
      </c>
      <c r="E13" s="22">
        <f>B$11*D$13</f>
        <v>600</v>
      </c>
      <c r="F13" s="23"/>
      <c r="G13" s="28" t="str">
        <f>C13</f>
        <v>Contar con calendario de pruebas inicios de año 2020</v>
      </c>
      <c r="H13" s="12">
        <v>1</v>
      </c>
      <c r="I13" s="12"/>
      <c r="J13" s="12">
        <f>I13/H13</f>
        <v>0</v>
      </c>
      <c r="K13" s="26">
        <f>IF(J13&lt;M13,0,J13*$E13)</f>
        <v>0</v>
      </c>
      <c r="M13" s="27">
        <v>1</v>
      </c>
    </row>
    <row r="14" spans="1:15" ht="14.25" customHeight="1">
      <c r="A14" s="2"/>
      <c r="B14" s="307"/>
      <c r="C14" s="28" t="s">
        <v>25</v>
      </c>
      <c r="D14" s="21">
        <v>0.05</v>
      </c>
      <c r="E14" s="22">
        <f>B$11*D$13</f>
        <v>600</v>
      </c>
      <c r="F14" s="23"/>
      <c r="G14" s="28" t="str">
        <f>C14</f>
        <v>Presentar estrategica por region Occidente 2020</v>
      </c>
      <c r="H14" s="12">
        <v>1</v>
      </c>
      <c r="I14" s="12"/>
      <c r="J14" s="12">
        <f>I14/H14</f>
        <v>0</v>
      </c>
      <c r="K14" s="26">
        <f>IF(J14&lt;M14,0,J14*$E14)</f>
        <v>0</v>
      </c>
      <c r="M14" s="27">
        <v>0.75</v>
      </c>
    </row>
    <row r="15" spans="1:15" ht="14.25" customHeight="1">
      <c r="A15" s="2"/>
      <c r="B15" s="307"/>
      <c r="C15" s="28" t="s">
        <v>26</v>
      </c>
      <c r="D15" s="21">
        <v>0.08</v>
      </c>
      <c r="E15" s="22">
        <f>B11*D15</f>
        <v>960</v>
      </c>
      <c r="F15" s="23"/>
      <c r="G15" s="28" t="str">
        <f>C15</f>
        <v xml:space="preserve">Presentar presupuesto lunes 6 de Diciembre </v>
      </c>
      <c r="H15" s="12">
        <v>1</v>
      </c>
      <c r="I15" s="12"/>
      <c r="J15" s="12">
        <f>I15/H15</f>
        <v>0</v>
      </c>
      <c r="K15" s="26">
        <f>IF(J15&lt;M15,0,J15*$E15)</f>
        <v>0</v>
      </c>
      <c r="M15" s="27">
        <v>0.75</v>
      </c>
    </row>
    <row r="16" spans="1:15" ht="14.25" customHeight="1">
      <c r="A16" s="2"/>
      <c r="B16" s="29"/>
      <c r="C16" s="30" t="s">
        <v>27</v>
      </c>
      <c r="D16" s="31">
        <f>SUM(D11:D15)</f>
        <v>1</v>
      </c>
      <c r="E16" s="32">
        <f>SUM(E11:E15)</f>
        <v>12000</v>
      </c>
      <c r="F16" s="23"/>
      <c r="G16" s="33"/>
      <c r="J16" s="34" t="s">
        <v>28</v>
      </c>
      <c r="K16" s="35">
        <f>SUM(K12:K15)</f>
        <v>0</v>
      </c>
      <c r="M16" s="36"/>
      <c r="N16" s="37"/>
    </row>
    <row r="17" spans="1:15" ht="15" customHeight="1">
      <c r="A17" s="2"/>
      <c r="F17" s="23"/>
      <c r="M17" s="36"/>
      <c r="N17" s="37"/>
    </row>
    <row r="18" spans="1:15" ht="15" customHeight="1">
      <c r="A18" s="2"/>
      <c r="F18" s="23"/>
      <c r="J18" s="38" t="s">
        <v>29</v>
      </c>
      <c r="K18" s="39">
        <f>+K16+K11</f>
        <v>11361.915468369292</v>
      </c>
    </row>
    <row r="19" spans="1:15" ht="14.25" customHeight="1">
      <c r="A19" s="2"/>
      <c r="F19" s="33"/>
    </row>
    <row r="20" spans="1:15" ht="14.25" customHeight="1">
      <c r="A20" s="2"/>
      <c r="F20" s="33"/>
      <c r="G20" s="40"/>
    </row>
    <row r="21" spans="1:15" ht="14.25" customHeight="1">
      <c r="A21" s="2"/>
      <c r="F21" s="33"/>
      <c r="G21" s="40"/>
    </row>
    <row r="23" spans="1:15" ht="15" customHeight="1"/>
    <row r="24" spans="1:15" ht="21" customHeight="1">
      <c r="C24" s="308" t="s">
        <v>30</v>
      </c>
      <c r="D24" s="308"/>
      <c r="E24" s="308"/>
      <c r="F24" s="308"/>
      <c r="G24" s="308"/>
      <c r="H24" s="308"/>
      <c r="I24" s="308"/>
      <c r="J24" s="308"/>
    </row>
    <row r="25" spans="1:15" ht="14.25" customHeight="1">
      <c r="A25" s="2"/>
      <c r="O25" s="3"/>
    </row>
    <row r="26" spans="1:15" ht="14.25" customHeight="1">
      <c r="A26" s="2"/>
      <c r="C26" s="303" t="s">
        <v>2</v>
      </c>
      <c r="D26" s="303"/>
      <c r="E26" s="4" t="s">
        <v>3</v>
      </c>
      <c r="F26" s="4"/>
      <c r="G26" s="303" t="s">
        <v>4</v>
      </c>
      <c r="H26" s="303"/>
      <c r="I26" s="304" t="s">
        <v>3</v>
      </c>
      <c r="J26" s="304"/>
    </row>
    <row r="27" spans="1:15" ht="14.25" customHeight="1">
      <c r="A27" s="2"/>
      <c r="B27" s="5" t="s">
        <v>5</v>
      </c>
      <c r="C27" s="6" t="s">
        <v>6</v>
      </c>
      <c r="D27" s="7" t="s">
        <v>7</v>
      </c>
      <c r="E27" s="8" t="s">
        <v>8</v>
      </c>
      <c r="F27" s="8" t="s">
        <v>9</v>
      </c>
      <c r="G27" s="6" t="s">
        <v>6</v>
      </c>
      <c r="H27" s="7" t="s">
        <v>7</v>
      </c>
      <c r="I27" s="8" t="s">
        <v>10</v>
      </c>
      <c r="J27" s="9" t="s">
        <v>9</v>
      </c>
    </row>
    <row r="28" spans="1:15" ht="14.25" customHeight="1">
      <c r="A28" s="2"/>
      <c r="B28" s="10" t="str">
        <f>$B$7</f>
        <v>MARZO</v>
      </c>
      <c r="C28" s="11">
        <f>'ESSENTIA MAR'!O31</f>
        <v>40269.120000000003</v>
      </c>
      <c r="D28" s="11">
        <f>'ESSENTIA MAR'!N31</f>
        <v>28197.387999999999</v>
      </c>
      <c r="E28" s="11">
        <f>D28-C28</f>
        <v>-12071.732000000004</v>
      </c>
      <c r="F28" s="12">
        <f>D28/C28-1</f>
        <v>-0.29977640435152297</v>
      </c>
      <c r="G28" s="13">
        <f>'ESSENTIA MAR'!G31</f>
        <v>2513753.6525520002</v>
      </c>
      <c r="H28" s="13">
        <f>'ESSENTIA MAR'!F31</f>
        <v>2114853.9</v>
      </c>
      <c r="I28" s="13">
        <f>H28-G28</f>
        <v>-398899.75255200034</v>
      </c>
      <c r="J28" s="12">
        <f>H28/G28-1</f>
        <v>-0.15868689127394464</v>
      </c>
    </row>
    <row r="29" spans="1:15" ht="14.25" customHeight="1">
      <c r="A29" s="2"/>
    </row>
    <row r="30" spans="1:15" ht="15" customHeight="1">
      <c r="A30" s="2"/>
      <c r="B30" s="305" t="s">
        <v>12</v>
      </c>
      <c r="C30" s="305"/>
      <c r="D30" s="305"/>
      <c r="E30" s="305"/>
      <c r="G30" s="15" t="s">
        <v>31</v>
      </c>
      <c r="H30" s="15"/>
      <c r="I30" s="15"/>
      <c r="J30" s="15"/>
      <c r="K30" s="15"/>
    </row>
    <row r="31" spans="1:15" ht="29.25" customHeight="1">
      <c r="A31" s="2"/>
      <c r="B31" s="9" t="s">
        <v>14</v>
      </c>
      <c r="C31" s="9" t="s">
        <v>15</v>
      </c>
      <c r="D31" s="16" t="s">
        <v>16</v>
      </c>
      <c r="E31" s="9" t="s">
        <v>17</v>
      </c>
      <c r="F31" s="19" t="s">
        <v>21</v>
      </c>
      <c r="G31" s="9" t="s">
        <v>15</v>
      </c>
      <c r="H31" s="18" t="s">
        <v>18</v>
      </c>
      <c r="I31" s="9" t="s">
        <v>19</v>
      </c>
      <c r="J31" s="9" t="s">
        <v>20</v>
      </c>
      <c r="K31" s="9" t="s">
        <v>14</v>
      </c>
      <c r="M31" s="9" t="s">
        <v>21</v>
      </c>
    </row>
    <row r="32" spans="1:15" ht="14.25" customHeight="1">
      <c r="A32" s="2"/>
      <c r="B32" s="41">
        <v>1000</v>
      </c>
      <c r="C32" s="42" t="s">
        <v>22</v>
      </c>
      <c r="D32" s="43">
        <f>E32/$B$37</f>
        <v>0.15384615384615385</v>
      </c>
      <c r="E32" s="44">
        <v>1000</v>
      </c>
      <c r="F32" s="45">
        <v>0.5</v>
      </c>
      <c r="G32" s="28" t="str">
        <f>C32</f>
        <v>Cumplimiento Presupuesto</v>
      </c>
      <c r="H32" s="41">
        <f>G28</f>
        <v>2513753.6525520002</v>
      </c>
      <c r="I32" s="41">
        <f>H28</f>
        <v>2114853.9</v>
      </c>
      <c r="J32" s="45">
        <f>IFERROR(I32/H32,0)</f>
        <v>0.84131310872605536</v>
      </c>
      <c r="K32" s="26">
        <f>IF(J32&lt;M32,0,J32*$E32)</f>
        <v>841.31310872605536</v>
      </c>
      <c r="M32" s="45">
        <v>0.5</v>
      </c>
    </row>
    <row r="33" spans="1:13" ht="14.25" customHeight="1">
      <c r="A33" s="2"/>
      <c r="B33" s="41">
        <v>1000</v>
      </c>
      <c r="C33" s="42" t="s">
        <v>32</v>
      </c>
      <c r="D33" s="43">
        <f>E33/$B$37</f>
        <v>0.15384615384615385</v>
      </c>
      <c r="E33" s="44">
        <v>1000</v>
      </c>
      <c r="F33" s="45">
        <v>1</v>
      </c>
      <c r="G33" s="28" t="str">
        <f>C33</f>
        <v xml:space="preserve">Pruebas atorizadas por realizar con cliente </v>
      </c>
      <c r="H33" s="12">
        <v>1</v>
      </c>
      <c r="I33" s="41"/>
      <c r="J33" s="45">
        <f>IFERROR(I33/H33,0)</f>
        <v>0</v>
      </c>
      <c r="K33" s="26">
        <f>IF(J33&lt;M33,0,J33*$E33)</f>
        <v>0</v>
      </c>
      <c r="M33" s="45">
        <v>1</v>
      </c>
    </row>
    <row r="34" spans="1:13" ht="14.25" customHeight="1">
      <c r="A34" s="2"/>
      <c r="B34" s="41">
        <v>1500</v>
      </c>
      <c r="C34" s="20" t="s">
        <v>33</v>
      </c>
      <c r="D34" s="43">
        <f>E34/$B$37</f>
        <v>0.23076923076923078</v>
      </c>
      <c r="E34" s="44">
        <v>1500</v>
      </c>
      <c r="F34" s="45">
        <v>1</v>
      </c>
      <c r="G34" s="28" t="str">
        <f>C34</f>
        <v xml:space="preserve">Armado e implementación estrategia Baja California </v>
      </c>
      <c r="H34" s="12">
        <v>1</v>
      </c>
      <c r="I34" s="12"/>
      <c r="J34" s="45">
        <f>IFERROR(I34/H34,0)</f>
        <v>0</v>
      </c>
      <c r="K34" s="26">
        <f>IF(J34&lt;M34,0,J34*$E34)</f>
        <v>0</v>
      </c>
      <c r="M34" s="45">
        <v>1</v>
      </c>
    </row>
    <row r="35" spans="1:13" ht="14.25" customHeight="1">
      <c r="A35" s="2"/>
      <c r="B35" s="41">
        <v>1500</v>
      </c>
      <c r="C35" s="28" t="s">
        <v>34</v>
      </c>
      <c r="D35" s="43">
        <f>E35/$B$37</f>
        <v>0.23076923076923078</v>
      </c>
      <c r="E35" s="44">
        <v>1500</v>
      </c>
      <c r="F35" s="45">
        <v>0.75</v>
      </c>
      <c r="G35" s="28" t="str">
        <f>C35</f>
        <v>Presentar estrategica por región 2020</v>
      </c>
      <c r="H35" s="12">
        <v>1</v>
      </c>
      <c r="I35" s="12"/>
      <c r="J35" s="45">
        <f>IFERROR(I35/H35,0)</f>
        <v>0</v>
      </c>
      <c r="K35" s="26">
        <f>IF(J35&lt;M35,0,J35*$E35)</f>
        <v>0</v>
      </c>
      <c r="M35" s="45">
        <v>0.75</v>
      </c>
    </row>
    <row r="36" spans="1:13" ht="14.25" customHeight="1">
      <c r="A36" s="2"/>
      <c r="B36" s="41">
        <v>1500</v>
      </c>
      <c r="C36" s="28" t="s">
        <v>26</v>
      </c>
      <c r="D36" s="43">
        <f>E36/$B$37</f>
        <v>0.23076923076923078</v>
      </c>
      <c r="E36" s="44">
        <v>1500</v>
      </c>
      <c r="F36" s="45">
        <v>0.75</v>
      </c>
      <c r="G36" s="28" t="str">
        <f>C36</f>
        <v xml:space="preserve">Presentar presupuesto lunes 6 de Diciembre </v>
      </c>
      <c r="H36" s="12">
        <v>1</v>
      </c>
      <c r="I36" s="12"/>
      <c r="J36" s="45">
        <f>IFERROR(I36/H36,0)</f>
        <v>0</v>
      </c>
      <c r="K36" s="26">
        <f>IF(J36&lt;M36,0,J36*$E36)</f>
        <v>0</v>
      </c>
      <c r="M36" s="45">
        <v>0.75</v>
      </c>
    </row>
    <row r="37" spans="1:13" ht="14.25" customHeight="1">
      <c r="A37" s="2"/>
      <c r="B37" s="46">
        <f>SUM(B32:B36)</f>
        <v>6500</v>
      </c>
      <c r="C37" s="30" t="s">
        <v>27</v>
      </c>
      <c r="D37" s="47"/>
      <c r="E37" s="48">
        <f>SUM(E31:E36)</f>
        <v>6500</v>
      </c>
      <c r="F37" s="23"/>
      <c r="G37" s="33"/>
      <c r="I37" s="49"/>
      <c r="J37" s="34" t="s">
        <v>28</v>
      </c>
      <c r="K37" s="35">
        <f>SUM(K34:K34)</f>
        <v>0</v>
      </c>
    </row>
    <row r="38" spans="1:13" ht="15" customHeight="1">
      <c r="A38" s="2"/>
      <c r="C38" s="50"/>
      <c r="D38" s="51"/>
      <c r="E38" s="52"/>
      <c r="F38" s="23"/>
    </row>
    <row r="39" spans="1:13" ht="14.25" customHeight="1">
      <c r="A39" s="2"/>
      <c r="F39" s="23"/>
      <c r="J39" s="62" t="s">
        <v>29</v>
      </c>
      <c r="K39" s="63">
        <f>+K37+K32</f>
        <v>841.31310872605536</v>
      </c>
    </row>
    <row r="40" spans="1:13" ht="14.25" customHeight="1">
      <c r="A40" s="2"/>
      <c r="F40" s="33"/>
      <c r="J40" s="55"/>
      <c r="K40" s="22"/>
    </row>
    <row r="41" spans="1:13" ht="14.25" customHeight="1">
      <c r="F41" s="33"/>
    </row>
    <row r="42" spans="1:13" ht="15" customHeight="1"/>
    <row r="43" spans="1:13" ht="21" customHeight="1">
      <c r="C43" s="308" t="s">
        <v>37</v>
      </c>
      <c r="D43" s="308"/>
      <c r="E43" s="308"/>
      <c r="F43" s="308"/>
      <c r="G43" s="308"/>
      <c r="H43" s="308"/>
      <c r="I43" s="308"/>
      <c r="J43" s="308"/>
    </row>
    <row r="45" spans="1:13" ht="14.25" customHeight="1">
      <c r="C45" s="303" t="s">
        <v>2</v>
      </c>
      <c r="D45" s="303"/>
      <c r="E45" s="4" t="s">
        <v>3</v>
      </c>
      <c r="F45" s="4"/>
      <c r="G45" s="303" t="s">
        <v>4</v>
      </c>
      <c r="H45" s="303"/>
      <c r="I45" s="304" t="s">
        <v>3</v>
      </c>
      <c r="J45" s="304"/>
    </row>
    <row r="46" spans="1:13" ht="14.25" customHeight="1">
      <c r="B46" s="5" t="s">
        <v>5</v>
      </c>
      <c r="C46" s="6" t="s">
        <v>6</v>
      </c>
      <c r="D46" s="7" t="s">
        <v>7</v>
      </c>
      <c r="E46" s="8" t="s">
        <v>8</v>
      </c>
      <c r="F46" s="8" t="s">
        <v>9</v>
      </c>
      <c r="G46" s="6" t="s">
        <v>6</v>
      </c>
      <c r="H46" s="7" t="s">
        <v>7</v>
      </c>
      <c r="I46" s="8" t="s">
        <v>10</v>
      </c>
      <c r="J46" s="9" t="s">
        <v>9</v>
      </c>
    </row>
    <row r="47" spans="1:13" ht="14.25" customHeight="1">
      <c r="B47" s="10" t="str">
        <f>$B$7</f>
        <v>MARZO</v>
      </c>
      <c r="C47" s="11">
        <f>'ESSENTIA MAR'!O36</f>
        <v>25555.395390000001</v>
      </c>
      <c r="D47" s="11">
        <f>'ESSENTIA MAR'!N36</f>
        <v>36261.15</v>
      </c>
      <c r="E47" s="11">
        <f>D47-C47</f>
        <v>10705.75461</v>
      </c>
      <c r="F47" s="12">
        <f>D47/C47-1</f>
        <v>0.41892345810424181</v>
      </c>
      <c r="G47" s="13">
        <f>'ESSENTIA MAR'!G36</f>
        <v>1472296.97753574</v>
      </c>
      <c r="H47" s="13">
        <f>'ESSENTIA MAR'!F36</f>
        <v>2063580.38</v>
      </c>
      <c r="I47" s="13">
        <f>H47-G47</f>
        <v>591283.40246425988</v>
      </c>
      <c r="J47" s="12">
        <f>H47/G47-1</f>
        <v>0.40160606962185152</v>
      </c>
    </row>
    <row r="49" spans="2:13" ht="14.25" customHeight="1">
      <c r="B49" s="305" t="s">
        <v>12</v>
      </c>
      <c r="C49" s="305"/>
      <c r="D49" s="305"/>
      <c r="E49" s="305"/>
      <c r="G49" s="306" t="s">
        <v>13</v>
      </c>
      <c r="H49" s="306"/>
      <c r="I49" s="306"/>
      <c r="J49" s="306"/>
      <c r="K49" s="306"/>
    </row>
    <row r="50" spans="2:13" ht="14.25" customHeight="1">
      <c r="B50" s="9" t="s">
        <v>14</v>
      </c>
      <c r="C50" s="9" t="s">
        <v>15</v>
      </c>
      <c r="D50" s="16" t="s">
        <v>16</v>
      </c>
      <c r="E50" s="9" t="s">
        <v>17</v>
      </c>
      <c r="F50" s="14"/>
      <c r="G50" s="9" t="s">
        <v>15</v>
      </c>
      <c r="H50" s="18" t="s">
        <v>18</v>
      </c>
      <c r="I50" s="9" t="s">
        <v>19</v>
      </c>
      <c r="J50" s="9" t="s">
        <v>20</v>
      </c>
      <c r="K50" s="9" t="s">
        <v>14</v>
      </c>
    </row>
    <row r="51" spans="2:13" ht="14.25" customHeight="1">
      <c r="B51" s="309">
        <v>7000</v>
      </c>
      <c r="C51" s="20" t="s">
        <v>22</v>
      </c>
      <c r="D51" s="58">
        <v>0.5</v>
      </c>
      <c r="E51" s="26">
        <f>B51*D51</f>
        <v>3500</v>
      </c>
      <c r="F51" s="17"/>
      <c r="G51" s="28" t="str">
        <f>C51</f>
        <v>Cumplimiento Presupuesto</v>
      </c>
      <c r="H51" s="41">
        <f>G47</f>
        <v>1472296.97753574</v>
      </c>
      <c r="I51" s="41">
        <f>H47</f>
        <v>2063580.38</v>
      </c>
      <c r="J51" s="45">
        <f>IFERROR(I51/H51,0)</f>
        <v>1.4016060696218515</v>
      </c>
      <c r="K51" s="26">
        <f>IF(J51&lt;M52,0,J51*$E51)</f>
        <v>4905.6212436764799</v>
      </c>
      <c r="M51" s="9" t="s">
        <v>21</v>
      </c>
    </row>
    <row r="52" spans="2:13" ht="21" customHeight="1">
      <c r="B52" s="309"/>
      <c r="C52" s="20" t="s">
        <v>38</v>
      </c>
      <c r="D52" s="58">
        <v>0.2</v>
      </c>
      <c r="E52" s="26">
        <f>B51*D52</f>
        <v>1400</v>
      </c>
      <c r="F52" s="23"/>
      <c r="G52" s="28" t="str">
        <f>C52</f>
        <v xml:space="preserve">Aplicación de pruebas unidades de chorizo </v>
      </c>
      <c r="H52" s="45">
        <v>1</v>
      </c>
      <c r="I52" s="45"/>
      <c r="J52" s="25">
        <f>IFERROR(I52/H52,0)</f>
        <v>0</v>
      </c>
      <c r="K52" s="26">
        <f>IF(J52&lt;M53,0,J52*$E52)</f>
        <v>0</v>
      </c>
      <c r="M52" s="45">
        <v>0.95</v>
      </c>
    </row>
    <row r="53" spans="2:13" ht="14.25" customHeight="1">
      <c r="B53" s="309"/>
      <c r="C53" s="28" t="s">
        <v>39</v>
      </c>
      <c r="D53" s="58">
        <v>0.2</v>
      </c>
      <c r="E53" s="26">
        <f>B51*D53</f>
        <v>1400</v>
      </c>
      <c r="F53" s="23"/>
      <c r="G53" s="28" t="str">
        <f>C53</f>
        <v xml:space="preserve">Prospectación </v>
      </c>
      <c r="H53" s="45">
        <v>1</v>
      </c>
      <c r="I53" s="45"/>
      <c r="J53" s="25">
        <f>IFERROR(I53/H53,0)</f>
        <v>0</v>
      </c>
      <c r="K53" s="26">
        <f>IF(J53&lt;M54,0,J53*$E53)</f>
        <v>0</v>
      </c>
      <c r="M53" s="45">
        <v>0.75</v>
      </c>
    </row>
    <row r="54" spans="2:13" ht="14.25" customHeight="1">
      <c r="B54" s="309"/>
      <c r="C54" s="28" t="s">
        <v>40</v>
      </c>
      <c r="D54" s="21">
        <v>0.1</v>
      </c>
      <c r="E54" s="22">
        <f>+D54*B51</f>
        <v>700</v>
      </c>
      <c r="F54" s="23"/>
      <c r="G54" s="28" t="str">
        <f>C54</f>
        <v xml:space="preserve">Cierre de venta con productos nuevos AGR </v>
      </c>
      <c r="H54" s="45">
        <v>1</v>
      </c>
      <c r="I54" s="45"/>
      <c r="J54" s="25">
        <f>IFERROR(I54/H54,0)</f>
        <v>0</v>
      </c>
      <c r="K54" s="26">
        <f>IF(J54&lt;M55,0,J54*$E54)</f>
        <v>0</v>
      </c>
      <c r="M54" s="45">
        <v>0.75</v>
      </c>
    </row>
    <row r="55" spans="2:13" ht="14.25" customHeight="1">
      <c r="C55" s="30" t="s">
        <v>27</v>
      </c>
      <c r="D55" s="47">
        <f>SUM(D51:D54)</f>
        <v>0.99999999999999989</v>
      </c>
      <c r="E55" s="32">
        <f>SUM(E51:E54)</f>
        <v>7000</v>
      </c>
      <c r="F55" s="23"/>
      <c r="G55" s="33"/>
      <c r="I55" s="49"/>
      <c r="J55" s="34" t="s">
        <v>28</v>
      </c>
      <c r="K55" s="35">
        <f>SUM(K52:K54)</f>
        <v>0</v>
      </c>
      <c r="M55" s="45">
        <v>0.75</v>
      </c>
    </row>
    <row r="56" spans="2:13" ht="15" customHeight="1">
      <c r="F56" s="23"/>
    </row>
    <row r="57" spans="2:13" ht="15" customHeight="1">
      <c r="F57" s="23"/>
      <c r="J57" s="38" t="s">
        <v>29</v>
      </c>
      <c r="K57" s="39">
        <f>+K55+K51</f>
        <v>4905.6212436764799</v>
      </c>
    </row>
    <row r="58" spans="2:13" ht="14.25" customHeight="1">
      <c r="F58" s="23"/>
      <c r="G58" s="40"/>
    </row>
    <row r="59" spans="2:13" ht="14.25" customHeight="1">
      <c r="F59" s="23"/>
    </row>
    <row r="60" spans="2:13" ht="15" customHeight="1"/>
    <row r="61" spans="2:13" ht="21" customHeight="1">
      <c r="C61" s="308" t="s">
        <v>41</v>
      </c>
      <c r="D61" s="308"/>
      <c r="E61" s="308"/>
      <c r="F61" s="308"/>
      <c r="G61" s="308"/>
      <c r="H61" s="308"/>
      <c r="I61" s="308"/>
      <c r="J61" s="308"/>
    </row>
    <row r="63" spans="2:13" ht="14.25" customHeight="1">
      <c r="C63" s="303" t="s">
        <v>2</v>
      </c>
      <c r="D63" s="303"/>
      <c r="E63" s="4" t="s">
        <v>3</v>
      </c>
      <c r="F63" s="4"/>
      <c r="G63" s="303" t="s">
        <v>4</v>
      </c>
      <c r="H63" s="303"/>
      <c r="I63" s="304" t="s">
        <v>3</v>
      </c>
      <c r="J63" s="304"/>
    </row>
    <row r="64" spans="2:13" ht="14.25" customHeight="1">
      <c r="B64" s="5" t="s">
        <v>5</v>
      </c>
      <c r="C64" s="6" t="s">
        <v>6</v>
      </c>
      <c r="D64" s="7" t="s">
        <v>7</v>
      </c>
      <c r="E64" s="8" t="s">
        <v>8</v>
      </c>
      <c r="F64" s="8" t="s">
        <v>9</v>
      </c>
      <c r="G64" s="6" t="s">
        <v>6</v>
      </c>
      <c r="H64" s="7" t="s">
        <v>7</v>
      </c>
      <c r="I64" s="8" t="s">
        <v>10</v>
      </c>
      <c r="J64" s="9" t="s">
        <v>9</v>
      </c>
    </row>
    <row r="65" spans="2:14" ht="14.25" customHeight="1">
      <c r="B65" s="10" t="str">
        <f>$B$7</f>
        <v>MARZO</v>
      </c>
      <c r="C65" s="11">
        <f>'ESSENTIA MAR'!O35</f>
        <v>129458.36989999999</v>
      </c>
      <c r="D65" s="11">
        <f>'ESSENTIA MAR'!N35</f>
        <v>76038.481899999999</v>
      </c>
      <c r="E65" s="11">
        <f>D65-C65</f>
        <v>-53419.887999999992</v>
      </c>
      <c r="F65" s="12">
        <f>D65/C65-1</f>
        <v>-0.41264143864366698</v>
      </c>
      <c r="G65" s="13">
        <f>'ESSENTIA MAR'!G35</f>
        <v>3162345.4579205001</v>
      </c>
      <c r="H65" s="13">
        <f>'ESSENTIA MAR'!F35</f>
        <v>2703189</v>
      </c>
      <c r="I65" s="13">
        <f>H65-G65</f>
        <v>-459156.45792050008</v>
      </c>
      <c r="J65" s="12">
        <f>H65/G65-1</f>
        <v>-0.14519490802957147</v>
      </c>
    </row>
    <row r="67" spans="2:14" ht="15" customHeight="1">
      <c r="B67" s="305" t="s">
        <v>12</v>
      </c>
      <c r="C67" s="305"/>
      <c r="D67" s="305"/>
      <c r="E67" s="305"/>
      <c r="F67" s="14"/>
      <c r="G67" s="306" t="s">
        <v>13</v>
      </c>
      <c r="H67" s="306"/>
      <c r="I67" s="306"/>
      <c r="J67" s="306"/>
      <c r="K67" s="306"/>
    </row>
    <row r="68" spans="2:14" ht="14.25" customHeight="1">
      <c r="B68" s="9" t="s">
        <v>14</v>
      </c>
      <c r="C68" s="9" t="s">
        <v>15</v>
      </c>
      <c r="D68" s="16" t="s">
        <v>16</v>
      </c>
      <c r="E68" s="9" t="s">
        <v>17</v>
      </c>
      <c r="F68" s="17"/>
      <c r="G68" s="9" t="s">
        <v>15</v>
      </c>
      <c r="H68" s="18" t="s">
        <v>18</v>
      </c>
      <c r="I68" s="9" t="s">
        <v>19</v>
      </c>
      <c r="J68" s="9" t="s">
        <v>20</v>
      </c>
      <c r="K68" s="9" t="s">
        <v>14</v>
      </c>
      <c r="M68" s="9" t="s">
        <v>21</v>
      </c>
    </row>
    <row r="69" spans="2:14" ht="14.25" customHeight="1">
      <c r="B69" s="307">
        <v>10000</v>
      </c>
      <c r="C69" s="20" t="s">
        <v>22</v>
      </c>
      <c r="D69" s="21">
        <v>0.6</v>
      </c>
      <c r="E69" s="22">
        <f>+D69*B69</f>
        <v>6000</v>
      </c>
      <c r="F69" s="23"/>
      <c r="G69" s="28" t="str">
        <f>C69</f>
        <v>Cumplimiento Presupuesto</v>
      </c>
      <c r="H69" s="24">
        <f>G65</f>
        <v>3162345.4579205001</v>
      </c>
      <c r="I69" s="41">
        <f>H65</f>
        <v>2703189</v>
      </c>
      <c r="J69" s="25">
        <f>IFERROR(I69/H69,0)</f>
        <v>0.85480509197042853</v>
      </c>
      <c r="K69" s="26">
        <f>IF(J69&lt;M69,0,J69*$E69)</f>
        <v>5128.8305518225716</v>
      </c>
      <c r="M69" s="45">
        <v>0.8</v>
      </c>
    </row>
    <row r="70" spans="2:14" ht="14.25" customHeight="1">
      <c r="B70" s="307"/>
      <c r="C70" s="28" t="s">
        <v>42</v>
      </c>
      <c r="D70" s="21">
        <v>0.1</v>
      </c>
      <c r="E70" s="22">
        <f>B69*D70</f>
        <v>1000</v>
      </c>
      <c r="F70" s="23"/>
      <c r="G70" s="28" t="str">
        <f>C70</f>
        <v>Cierre de 3 pedidos  300 Kgcon clientes actuales de FMC</v>
      </c>
      <c r="H70" s="45">
        <v>1</v>
      </c>
      <c r="I70" s="59"/>
      <c r="J70" s="45">
        <f>I70/H70</f>
        <v>0</v>
      </c>
      <c r="K70" s="26">
        <f>IF(J70&lt;M70,0,J70*$E70)</f>
        <v>0</v>
      </c>
      <c r="M70" s="27">
        <v>0.8</v>
      </c>
      <c r="N70" s="34"/>
    </row>
    <row r="71" spans="2:14" ht="30" customHeight="1">
      <c r="B71" s="307"/>
      <c r="C71" s="28" t="s">
        <v>24</v>
      </c>
      <c r="D71" s="21">
        <v>0.12</v>
      </c>
      <c r="E71" s="22">
        <f>+D71*B69</f>
        <v>1200</v>
      </c>
      <c r="F71" s="23"/>
      <c r="G71" s="28" t="str">
        <f>C71</f>
        <v>Contar con calendario de pruebas inicios de año 2020</v>
      </c>
      <c r="H71" s="45">
        <v>1</v>
      </c>
      <c r="I71" s="45"/>
      <c r="J71" s="25">
        <f>IFERROR(I71/H71,0)</f>
        <v>0</v>
      </c>
      <c r="K71" s="26">
        <f>IF(J71&lt;M71,0,J71*$E71)</f>
        <v>0</v>
      </c>
      <c r="M71" s="45">
        <v>1</v>
      </c>
    </row>
    <row r="72" spans="2:14" ht="30" customHeight="1">
      <c r="B72" s="307"/>
      <c r="C72" s="28" t="s">
        <v>43</v>
      </c>
      <c r="D72" s="21">
        <v>7.0000000000000007E-2</v>
      </c>
      <c r="E72" s="22">
        <f>+D72*B69</f>
        <v>700.00000000000011</v>
      </c>
      <c r="F72" s="23"/>
      <c r="G72" s="28" t="str">
        <f>C72</f>
        <v>Presentar estrategica por region  2020</v>
      </c>
      <c r="H72" s="45">
        <v>1</v>
      </c>
      <c r="I72" s="45"/>
      <c r="J72" s="25">
        <f>IFERROR(I72/H72,0)</f>
        <v>0</v>
      </c>
      <c r="K72" s="26">
        <f>IF(J72&lt;M72,0,J72*$E72)</f>
        <v>0</v>
      </c>
      <c r="M72" s="45">
        <v>1</v>
      </c>
    </row>
    <row r="73" spans="2:14" ht="14.25" customHeight="1">
      <c r="B73" s="307"/>
      <c r="C73" s="28" t="s">
        <v>26</v>
      </c>
      <c r="D73" s="58">
        <v>0.11</v>
      </c>
      <c r="E73" s="22">
        <f>+D73*B69</f>
        <v>1100</v>
      </c>
      <c r="F73" s="60"/>
      <c r="G73" s="28" t="str">
        <f>C73</f>
        <v xml:space="preserve">Presentar presupuesto lunes 6 de Diciembre </v>
      </c>
      <c r="H73" s="45">
        <v>1</v>
      </c>
      <c r="I73" s="45"/>
      <c r="J73" s="25">
        <f>IFERROR(I73/H73,0)</f>
        <v>0</v>
      </c>
      <c r="K73" s="26">
        <f>IF(J73&lt;M73,0,J73*$E73)</f>
        <v>0</v>
      </c>
      <c r="M73" s="45">
        <v>1</v>
      </c>
    </row>
    <row r="74" spans="2:14" ht="14.25" customHeight="1">
      <c r="B74" s="29"/>
      <c r="C74" s="30" t="s">
        <v>27</v>
      </c>
      <c r="D74" s="31">
        <f>SUM(D69:D73)</f>
        <v>0.99999999999999989</v>
      </c>
      <c r="E74" s="32">
        <f>SUM(E69:E73)</f>
        <v>10000</v>
      </c>
      <c r="F74" s="23"/>
      <c r="G74" s="33"/>
      <c r="J74" s="34" t="s">
        <v>28</v>
      </c>
      <c r="K74" s="35">
        <f>SUM(K70:K73)</f>
        <v>0</v>
      </c>
      <c r="M74" s="61"/>
    </row>
    <row r="75" spans="2:14" ht="15" customHeight="1">
      <c r="F75" s="23"/>
    </row>
    <row r="76" spans="2:14" ht="15" customHeight="1">
      <c r="F76" s="23"/>
      <c r="J76" s="38" t="s">
        <v>29</v>
      </c>
      <c r="K76" s="39">
        <f>+K74+K69</f>
        <v>5128.8305518225716</v>
      </c>
    </row>
    <row r="77" spans="2:14" ht="14.25" customHeight="1">
      <c r="F77" s="23"/>
    </row>
    <row r="79" spans="2:14" ht="15" customHeight="1"/>
    <row r="80" spans="2:14" ht="21" customHeight="1">
      <c r="C80" s="308" t="s">
        <v>47</v>
      </c>
      <c r="D80" s="308"/>
      <c r="E80" s="308"/>
      <c r="F80" s="308"/>
      <c r="G80" s="308"/>
      <c r="H80" s="308"/>
      <c r="I80" s="308"/>
      <c r="J80" s="308"/>
    </row>
    <row r="82" spans="2:13" ht="14.25" customHeight="1">
      <c r="C82" s="303" t="s">
        <v>2</v>
      </c>
      <c r="D82" s="303"/>
      <c r="E82" s="4" t="s">
        <v>3</v>
      </c>
      <c r="F82" s="4"/>
      <c r="G82" s="303" t="s">
        <v>4</v>
      </c>
      <c r="H82" s="303"/>
      <c r="I82" s="304" t="s">
        <v>3</v>
      </c>
      <c r="J82" s="304"/>
    </row>
    <row r="83" spans="2:13" ht="14.25" customHeight="1">
      <c r="B83" s="5" t="s">
        <v>5</v>
      </c>
      <c r="C83" s="6" t="s">
        <v>6</v>
      </c>
      <c r="D83" s="7" t="s">
        <v>7</v>
      </c>
      <c r="E83" s="8" t="s">
        <v>8</v>
      </c>
      <c r="F83" s="8" t="s">
        <v>9</v>
      </c>
      <c r="G83" s="6" t="s">
        <v>6</v>
      </c>
      <c r="H83" s="7" t="s">
        <v>7</v>
      </c>
      <c r="I83" s="8" t="s">
        <v>10</v>
      </c>
      <c r="J83" s="9" t="s">
        <v>9</v>
      </c>
    </row>
    <row r="84" spans="2:13" ht="14.25" customHeight="1">
      <c r="B84" s="10" t="str">
        <f>$B$7</f>
        <v>MARZO</v>
      </c>
      <c r="C84" s="11">
        <f>'ESSENTIA MAR'!O32</f>
        <v>62872.68</v>
      </c>
      <c r="D84" s="11">
        <f>'ESSENTIA MAR'!N32</f>
        <v>80334.683999999994</v>
      </c>
      <c r="E84" s="11">
        <f>D84-C84</f>
        <v>17462.003999999994</v>
      </c>
      <c r="F84" s="12">
        <f>D84/C84-1</f>
        <v>0.27773595781188254</v>
      </c>
      <c r="G84" s="13">
        <f>'ESSENTIA MAR'!G32</f>
        <v>1681788.4011024002</v>
      </c>
      <c r="H84" s="13">
        <f>'ESSENTIA MAR'!F32</f>
        <v>2003033</v>
      </c>
      <c r="I84" s="13">
        <f>H84-G84</f>
        <v>321244.59889759985</v>
      </c>
      <c r="J84" s="12">
        <f>H84/G84-1</f>
        <v>0.19101368441298927</v>
      </c>
    </row>
    <row r="86" spans="2:13" ht="14.25" customHeight="1">
      <c r="B86" s="305" t="s">
        <v>12</v>
      </c>
      <c r="C86" s="305"/>
      <c r="D86" s="305"/>
      <c r="E86" s="305"/>
      <c r="F86" s="14"/>
      <c r="G86" s="306" t="s">
        <v>13</v>
      </c>
      <c r="H86" s="306"/>
      <c r="I86" s="306"/>
      <c r="J86" s="306"/>
      <c r="K86" s="306"/>
    </row>
    <row r="87" spans="2:13" ht="14.25" customHeight="1">
      <c r="B87" s="9" t="s">
        <v>14</v>
      </c>
      <c r="C87" s="9" t="s">
        <v>15</v>
      </c>
      <c r="D87" s="16" t="s">
        <v>16</v>
      </c>
      <c r="E87" s="9" t="s">
        <v>17</v>
      </c>
      <c r="F87" s="17"/>
      <c r="G87" s="9" t="s">
        <v>15</v>
      </c>
      <c r="H87" s="18" t="s">
        <v>18</v>
      </c>
      <c r="I87" s="9" t="s">
        <v>19</v>
      </c>
      <c r="J87" s="9" t="s">
        <v>20</v>
      </c>
      <c r="K87" s="9" t="s">
        <v>14</v>
      </c>
      <c r="M87" s="9" t="s">
        <v>21</v>
      </c>
    </row>
    <row r="88" spans="2:13" ht="14.25" customHeight="1">
      <c r="B88" s="307"/>
      <c r="C88" s="20" t="s">
        <v>22</v>
      </c>
      <c r="D88" s="21">
        <v>1</v>
      </c>
      <c r="E88" s="22">
        <f>+D88*B88</f>
        <v>0</v>
      </c>
      <c r="F88" s="23"/>
      <c r="G88" s="28" t="str">
        <f>C88</f>
        <v>Cumplimiento Presupuesto</v>
      </c>
      <c r="H88" s="24">
        <f>G84</f>
        <v>1681788.4011024002</v>
      </c>
      <c r="I88" s="41">
        <f>H84</f>
        <v>2003033</v>
      </c>
      <c r="J88" s="25">
        <f>IFERROR(I88/H88,0)</f>
        <v>1.1910136844129893</v>
      </c>
      <c r="K88" s="26">
        <f>IF(J88&lt;M88,0,J88*$E88)</f>
        <v>0</v>
      </c>
      <c r="M88" s="45">
        <v>0.8</v>
      </c>
    </row>
    <row r="89" spans="2:13" ht="14.25" customHeight="1">
      <c r="B89" s="307"/>
      <c r="C89" s="28"/>
      <c r="D89" s="21"/>
      <c r="E89" s="22">
        <f>B88*D89</f>
        <v>0</v>
      </c>
      <c r="F89" s="23"/>
      <c r="G89" s="28">
        <f>C89</f>
        <v>0</v>
      </c>
      <c r="H89" s="45">
        <v>1</v>
      </c>
      <c r="I89" s="59"/>
      <c r="J89" s="45">
        <f>I89/H89</f>
        <v>0</v>
      </c>
      <c r="K89" s="26">
        <f>IF(J89&lt;M89,0,J89*$E89)</f>
        <v>0</v>
      </c>
      <c r="M89" s="27">
        <v>0.8</v>
      </c>
    </row>
    <row r="90" spans="2:13" ht="14.25" customHeight="1">
      <c r="B90" s="307"/>
      <c r="C90" s="28"/>
      <c r="D90" s="21"/>
      <c r="E90" s="22">
        <f>+D90*B88</f>
        <v>0</v>
      </c>
      <c r="F90" s="23"/>
      <c r="G90" s="28">
        <f>C90</f>
        <v>0</v>
      </c>
      <c r="H90" s="45">
        <v>1</v>
      </c>
      <c r="I90" s="45"/>
      <c r="J90" s="25">
        <f>IFERROR(I90/H90,0)</f>
        <v>0</v>
      </c>
      <c r="K90" s="26">
        <f>IF(J90&lt;M90,0,J90*$E90)</f>
        <v>0</v>
      </c>
      <c r="M90" s="45">
        <v>1</v>
      </c>
    </row>
    <row r="91" spans="2:13" ht="14.25" customHeight="1">
      <c r="B91" s="307"/>
      <c r="C91" s="28"/>
      <c r="D91" s="21"/>
      <c r="E91" s="22">
        <f>+D91*B88</f>
        <v>0</v>
      </c>
      <c r="F91" s="23"/>
      <c r="G91" s="28">
        <f>C91</f>
        <v>0</v>
      </c>
      <c r="H91" s="45">
        <v>1</v>
      </c>
      <c r="I91" s="45"/>
      <c r="J91" s="25">
        <f>IFERROR(I91/H91,0)</f>
        <v>0</v>
      </c>
      <c r="K91" s="26">
        <f>IF(J91&lt;M91,0,J91*$E91)</f>
        <v>0</v>
      </c>
      <c r="M91" s="45">
        <v>1</v>
      </c>
    </row>
    <row r="92" spans="2:13" ht="14.25" customHeight="1">
      <c r="B92" s="307"/>
      <c r="C92" s="28"/>
      <c r="D92" s="58"/>
      <c r="E92" s="22">
        <f>+D92*B88</f>
        <v>0</v>
      </c>
      <c r="F92" s="60"/>
      <c r="G92" s="28">
        <f>C92</f>
        <v>0</v>
      </c>
      <c r="H92" s="45">
        <v>1</v>
      </c>
      <c r="I92" s="45"/>
      <c r="J92" s="25">
        <f>IFERROR(I92/H92,0)</f>
        <v>0</v>
      </c>
      <c r="K92" s="26">
        <f>IF(J92&lt;M92,0,J92*$E92)</f>
        <v>0</v>
      </c>
      <c r="M92" s="45">
        <v>1</v>
      </c>
    </row>
    <row r="93" spans="2:13" ht="14.25" customHeight="1">
      <c r="B93" s="29"/>
      <c r="C93" s="30" t="s">
        <v>27</v>
      </c>
      <c r="D93" s="31">
        <f>SUM(D88:D92)</f>
        <v>1</v>
      </c>
      <c r="E93" s="32">
        <f>SUM(E88:E92)</f>
        <v>0</v>
      </c>
      <c r="F93" s="23"/>
      <c r="G93" s="33"/>
      <c r="J93" s="34" t="s">
        <v>28</v>
      </c>
      <c r="K93" s="35">
        <f>SUM(K89:K92)</f>
        <v>0</v>
      </c>
      <c r="M93" s="61"/>
    </row>
    <row r="94" spans="2:13" ht="15" customHeight="1">
      <c r="F94" s="23"/>
    </row>
    <row r="95" spans="2:13" ht="15" customHeight="1">
      <c r="F95" s="23"/>
      <c r="J95" s="38" t="s">
        <v>29</v>
      </c>
      <c r="K95" s="39">
        <f>+K93+K88</f>
        <v>0</v>
      </c>
    </row>
    <row r="170" spans="14:17" ht="14.25" customHeight="1">
      <c r="N170" s="1">
        <v>3</v>
      </c>
      <c r="O170" s="1">
        <v>3.1</v>
      </c>
      <c r="P170" s="1">
        <f>+O170-N170</f>
        <v>0.10000000000000009</v>
      </c>
      <c r="Q170" s="1">
        <f>+P170/O170</f>
        <v>3.2258064516129059E-2</v>
      </c>
    </row>
    <row r="174" spans="14:17" ht="14.25" customHeight="1">
      <c r="P174" s="23">
        <f>2000*3*12</f>
        <v>72000</v>
      </c>
    </row>
    <row r="177" spans="16:16" ht="14.25" customHeight="1">
      <c r="P177" s="1">
        <f>2000*12</f>
        <v>24000</v>
      </c>
    </row>
  </sheetData>
  <mergeCells count="35">
    <mergeCell ref="B86:E86"/>
    <mergeCell ref="G86:K86"/>
    <mergeCell ref="B88:B92"/>
    <mergeCell ref="B67:E67"/>
    <mergeCell ref="G67:K67"/>
    <mergeCell ref="B69:B73"/>
    <mergeCell ref="C80:J80"/>
    <mergeCell ref="C82:D82"/>
    <mergeCell ref="G82:H82"/>
    <mergeCell ref="I82:J82"/>
    <mergeCell ref="B49:E49"/>
    <mergeCell ref="G49:K49"/>
    <mergeCell ref="B51:B54"/>
    <mergeCell ref="C61:J61"/>
    <mergeCell ref="C63:D63"/>
    <mergeCell ref="G63:H63"/>
    <mergeCell ref="I63:J63"/>
    <mergeCell ref="B30:E30"/>
    <mergeCell ref="C43:J43"/>
    <mergeCell ref="C45:D45"/>
    <mergeCell ref="G45:H45"/>
    <mergeCell ref="I45:J45"/>
    <mergeCell ref="B9:E9"/>
    <mergeCell ref="G9:K9"/>
    <mergeCell ref="B11:B15"/>
    <mergeCell ref="C24:J24"/>
    <mergeCell ref="C26:D26"/>
    <mergeCell ref="G26:H26"/>
    <mergeCell ref="I26:J26"/>
    <mergeCell ref="C1:I1"/>
    <mergeCell ref="C3:J3"/>
    <mergeCell ref="C5:D5"/>
    <mergeCell ref="E5:F5"/>
    <mergeCell ref="G5:H5"/>
    <mergeCell ref="I5:J5"/>
  </mergeCells>
  <conditionalFormatting sqref="J84">
    <cfRule type="iconSet" priority="2">
      <iconSet iconSet="3Arrows">
        <cfvo type="percent" val="0"/>
        <cfvo type="num" val="0"/>
        <cfvo type="num" val="0"/>
      </iconSet>
    </cfRule>
  </conditionalFormatting>
  <conditionalFormatting sqref="F84">
    <cfRule type="iconSet" priority="3">
      <iconSet iconSet="3Arrows">
        <cfvo type="percent" val="0"/>
        <cfvo type="num" val="0"/>
        <cfvo type="num" val="0"/>
      </iconSet>
    </cfRule>
  </conditionalFormatting>
  <conditionalFormatting sqref="J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5">
    <cfRule type="iconSet" priority="5">
      <iconSet iconSet="3Arrows">
        <cfvo type="percent" val="0"/>
        <cfvo type="num" val="0"/>
        <cfvo type="num" val="0"/>
      </iconSet>
    </cfRule>
  </conditionalFormatting>
  <conditionalFormatting sqref="J47">
    <cfRule type="iconSet" priority="6">
      <iconSet iconSet="3Arrows">
        <cfvo type="percent" val="0"/>
        <cfvo type="num" val="0"/>
        <cfvo type="num" val="0"/>
      </iconSet>
    </cfRule>
  </conditionalFormatting>
  <conditionalFormatting sqref="F47">
    <cfRule type="iconSet" priority="7">
      <iconSet iconSet="3Arrows">
        <cfvo type="percent" val="0"/>
        <cfvo type="num" val="0"/>
        <cfvo type="num" val="0"/>
      </iconSet>
    </cfRule>
  </conditionalFormatting>
  <conditionalFormatting sqref="J28">
    <cfRule type="iconSet" priority="8">
      <iconSet iconSet="3Arrows">
        <cfvo type="percent" val="0"/>
        <cfvo type="num" val="0"/>
        <cfvo type="num" val="0"/>
      </iconSet>
    </cfRule>
  </conditionalFormatting>
  <conditionalFormatting sqref="F28">
    <cfRule type="iconSet" priority="9">
      <iconSet iconSet="3Arrows">
        <cfvo type="percent" val="0"/>
        <cfvo type="num" val="0"/>
        <cfvo type="num" val="0"/>
      </iconSet>
    </cfRule>
  </conditionalFormatting>
  <conditionalFormatting sqref="J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7">
    <cfRule type="iconSet" priority="1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5D6"/>
  </sheetPr>
  <dimension ref="A2:T98"/>
  <sheetViews>
    <sheetView zoomScaleNormal="100" workbookViewId="0">
      <selection activeCell="C37" sqref="C37"/>
    </sheetView>
  </sheetViews>
  <sheetFormatPr baseColWidth="10" defaultColWidth="11.453125" defaultRowHeight="14.5"/>
  <cols>
    <col min="1" max="1" width="5.81640625" style="1" customWidth="1"/>
    <col min="2" max="2" width="4" style="1" customWidth="1"/>
    <col min="3" max="3" width="51.54296875" style="1" customWidth="1"/>
    <col min="4" max="4" width="10.1796875" style="1" customWidth="1"/>
    <col min="5" max="5" width="29.54296875" style="1" customWidth="1"/>
    <col min="6" max="7" width="11.1796875" style="1" customWidth="1"/>
    <col min="8" max="8" width="11.81640625" style="1" customWidth="1"/>
    <col min="9" max="9" width="8.81640625" style="1" customWidth="1"/>
    <col min="10" max="10" width="11.1796875" style="1" customWidth="1"/>
    <col min="11" max="11" width="10.81640625" style="1" customWidth="1"/>
    <col min="12" max="12" width="9" style="1" customWidth="1"/>
    <col min="13" max="13" width="8.81640625" style="1" customWidth="1"/>
    <col min="14" max="15" width="7.54296875" style="1" customWidth="1"/>
    <col min="16" max="16" width="8.1796875" style="1" customWidth="1"/>
    <col min="17" max="17" width="9.81640625" style="1" customWidth="1"/>
    <col min="18" max="18" width="7.54296875" style="1" customWidth="1"/>
    <col min="19" max="19" width="8.1796875" style="1" customWidth="1"/>
    <col min="20" max="20" width="7.81640625" style="1" customWidth="1"/>
  </cols>
  <sheetData>
    <row r="2" spans="4:20" ht="15" customHeight="1"/>
    <row r="3" spans="4:20" ht="15" customHeight="1">
      <c r="E3" s="64" t="s">
        <v>48</v>
      </c>
      <c r="F3" s="310" t="s">
        <v>49</v>
      </c>
      <c r="G3" s="310"/>
      <c r="H3" s="310"/>
      <c r="I3" s="310"/>
      <c r="J3" s="310"/>
      <c r="K3" s="310"/>
      <c r="L3" s="310"/>
      <c r="N3" s="310" t="s">
        <v>50</v>
      </c>
      <c r="O3" s="310"/>
      <c r="P3" s="310"/>
      <c r="Q3" s="310"/>
      <c r="R3" s="310"/>
      <c r="S3" s="310"/>
      <c r="T3" s="310"/>
    </row>
    <row r="4" spans="4:20" ht="14.25" customHeight="1">
      <c r="D4" s="65" t="s">
        <v>51</v>
      </c>
      <c r="E4" s="66" t="s">
        <v>52</v>
      </c>
      <c r="F4" s="67">
        <v>2020</v>
      </c>
      <c r="G4" s="67" t="s">
        <v>53</v>
      </c>
      <c r="H4" s="68" t="s">
        <v>54</v>
      </c>
      <c r="I4" s="69" t="s">
        <v>55</v>
      </c>
      <c r="J4" s="67">
        <v>2019</v>
      </c>
      <c r="K4" s="68" t="s">
        <v>54</v>
      </c>
      <c r="L4" s="69" t="s">
        <v>55</v>
      </c>
      <c r="N4" s="67">
        <v>2020</v>
      </c>
      <c r="O4" s="67" t="s">
        <v>53</v>
      </c>
      <c r="P4" s="68" t="s">
        <v>54</v>
      </c>
      <c r="Q4" s="69" t="s">
        <v>55</v>
      </c>
      <c r="R4" s="67">
        <v>2019</v>
      </c>
      <c r="S4" s="68" t="s">
        <v>54</v>
      </c>
      <c r="T4" s="69" t="s">
        <v>55</v>
      </c>
    </row>
    <row r="5" spans="4:20" ht="14.25" customHeight="1">
      <c r="D5" s="70">
        <v>1</v>
      </c>
      <c r="E5" s="71" t="s">
        <v>56</v>
      </c>
      <c r="F5" s="72">
        <v>5866628.8799999999</v>
      </c>
      <c r="G5" s="73">
        <v>4375397.8402217599</v>
      </c>
      <c r="H5" s="74">
        <v>1491231.03977824</v>
      </c>
      <c r="I5" s="75">
        <v>0.34082181649170101</v>
      </c>
      <c r="J5" s="73">
        <v>5842159.1699999999</v>
      </c>
      <c r="K5" s="74">
        <v>24469.71</v>
      </c>
      <c r="L5" s="75">
        <v>4.1884702706584996E-3</v>
      </c>
      <c r="N5" s="76">
        <v>197180.65109999999</v>
      </c>
      <c r="O5" s="77">
        <v>145378.44320000001</v>
      </c>
      <c r="P5" s="78">
        <v>51802.207900000001</v>
      </c>
      <c r="Q5" s="75">
        <v>0.35632661046407499</v>
      </c>
      <c r="R5" s="77">
        <v>173656.21239999999</v>
      </c>
      <c r="S5" s="78">
        <v>23524.438699999999</v>
      </c>
      <c r="T5" s="75">
        <v>0.13546557520103999</v>
      </c>
    </row>
    <row r="6" spans="4:20" ht="14.25" customHeight="1">
      <c r="D6" s="70">
        <v>2</v>
      </c>
      <c r="E6" s="71" t="s">
        <v>57</v>
      </c>
      <c r="F6" s="72">
        <v>2114853.9</v>
      </c>
      <c r="G6" s="73">
        <v>2519579.4700520001</v>
      </c>
      <c r="H6" s="74">
        <v>-404725.570052</v>
      </c>
      <c r="I6" s="75">
        <v>-0.16063219075350199</v>
      </c>
      <c r="J6" s="73">
        <v>2674387.91</v>
      </c>
      <c r="K6" s="74">
        <v>-559534.01</v>
      </c>
      <c r="L6" s="75">
        <v>-0.20921946584779499</v>
      </c>
      <c r="N6" s="76">
        <v>28197.387999999999</v>
      </c>
      <c r="O6" s="77">
        <v>40319.120000000003</v>
      </c>
      <c r="P6" s="78">
        <v>-12121.732</v>
      </c>
      <c r="Q6" s="75">
        <v>-0.30064475613555097</v>
      </c>
      <c r="R6" s="77">
        <v>47224.029699999999</v>
      </c>
      <c r="S6" s="78">
        <v>-19026.6417</v>
      </c>
      <c r="T6" s="75">
        <v>-0.40290169688759098</v>
      </c>
    </row>
    <row r="7" spans="4:20" ht="14.25" customHeight="1">
      <c r="D7" s="70">
        <v>3</v>
      </c>
      <c r="E7" s="71" t="s">
        <v>131</v>
      </c>
      <c r="F7" s="72">
        <v>2003033</v>
      </c>
      <c r="G7" s="73">
        <v>1692873.7286024</v>
      </c>
      <c r="H7" s="74">
        <v>310159.271397601</v>
      </c>
      <c r="I7" s="75">
        <v>0.18321465219597999</v>
      </c>
      <c r="J7" s="73">
        <v>1403179.91</v>
      </c>
      <c r="K7" s="74">
        <v>599853.09000000102</v>
      </c>
      <c r="L7" s="75">
        <v>0.42749549485782001</v>
      </c>
      <c r="N7" s="76">
        <v>80334.683999999994</v>
      </c>
      <c r="O7" s="77">
        <v>62937.68</v>
      </c>
      <c r="P7" s="78">
        <v>17397.004000000001</v>
      </c>
      <c r="Q7" s="75">
        <v>0.27641635344677501</v>
      </c>
      <c r="R7" s="77">
        <v>36118.063900000001</v>
      </c>
      <c r="S7" s="78">
        <v>44216.6201</v>
      </c>
      <c r="T7" s="75">
        <v>1.2242245382372201</v>
      </c>
    </row>
    <row r="8" spans="4:20" ht="14.25" customHeight="1">
      <c r="D8" s="70">
        <v>4</v>
      </c>
      <c r="E8" s="71" t="s">
        <v>132</v>
      </c>
      <c r="F8" s="72">
        <v>1402135.55</v>
      </c>
      <c r="G8" s="73">
        <v>2122986.7383400002</v>
      </c>
      <c r="H8" s="74">
        <v>-720851.18833999999</v>
      </c>
      <c r="I8" s="75">
        <v>-0.33954578016047599</v>
      </c>
      <c r="J8" s="73">
        <v>1816329.76</v>
      </c>
      <c r="K8" s="74">
        <v>-414194.21</v>
      </c>
      <c r="L8" s="75">
        <v>-0.22803910342800299</v>
      </c>
      <c r="N8" s="76">
        <v>53684.4</v>
      </c>
      <c r="O8" s="77">
        <v>103176.28</v>
      </c>
      <c r="P8" s="78">
        <v>-49491.88</v>
      </c>
      <c r="Q8" s="75">
        <v>-0.47968273327939298</v>
      </c>
      <c r="R8" s="77">
        <v>79547.88</v>
      </c>
      <c r="S8" s="78">
        <v>-25863.48</v>
      </c>
      <c r="T8" s="75">
        <v>-0.32513097772058802</v>
      </c>
    </row>
    <row r="9" spans="4:20" ht="14.25" customHeight="1">
      <c r="D9" s="70">
        <v>5</v>
      </c>
      <c r="E9" s="71" t="s">
        <v>59</v>
      </c>
      <c r="F9" s="72">
        <v>145340.29999999999</v>
      </c>
      <c r="G9" s="73">
        <v>176526.42</v>
      </c>
      <c r="H9" s="74">
        <v>-31186.12</v>
      </c>
      <c r="I9" s="75">
        <v>-0.17666545325056701</v>
      </c>
      <c r="J9" s="73">
        <v>191931.4</v>
      </c>
      <c r="K9" s="74">
        <v>-46591.1</v>
      </c>
      <c r="L9" s="75">
        <v>-0.242748711258293</v>
      </c>
      <c r="N9" s="76">
        <v>150</v>
      </c>
      <c r="O9" s="77">
        <v>200</v>
      </c>
      <c r="P9" s="78">
        <v>-50</v>
      </c>
      <c r="Q9" s="75">
        <v>-0.25</v>
      </c>
      <c r="R9" s="77">
        <v>230</v>
      </c>
      <c r="S9" s="78">
        <v>-80</v>
      </c>
      <c r="T9" s="75">
        <v>-0.34782608695652201</v>
      </c>
    </row>
    <row r="10" spans="4:20" ht="14.25" customHeight="1">
      <c r="D10" s="70">
        <v>6</v>
      </c>
      <c r="E10" s="71" t="s">
        <v>60</v>
      </c>
      <c r="F10" s="72">
        <v>1301053.45</v>
      </c>
      <c r="G10" s="73">
        <v>1092915.9105805</v>
      </c>
      <c r="H10" s="74">
        <v>208137.53941950001</v>
      </c>
      <c r="I10" s="75">
        <v>0.190442409525311</v>
      </c>
      <c r="J10" s="73">
        <v>1394843.92</v>
      </c>
      <c r="K10" s="74">
        <v>-93790.469999999696</v>
      </c>
      <c r="L10" s="75">
        <v>-6.7240835089276405E-2</v>
      </c>
      <c r="N10" s="76">
        <v>22354.081900000001</v>
      </c>
      <c r="O10" s="77">
        <v>26525.089899999999</v>
      </c>
      <c r="P10" s="78">
        <v>-4171.0079999999998</v>
      </c>
      <c r="Q10" s="75">
        <v>-0.157247648008914</v>
      </c>
      <c r="R10" s="77">
        <v>25602.359799999998</v>
      </c>
      <c r="S10" s="78">
        <v>-3248.2779</v>
      </c>
      <c r="T10" s="75">
        <v>-0.126874160248306</v>
      </c>
    </row>
    <row r="11" spans="4:20" ht="14.25" customHeight="1">
      <c r="D11" s="70">
        <v>7</v>
      </c>
      <c r="E11" s="71" t="s">
        <v>61</v>
      </c>
      <c r="F11" s="72">
        <v>2063580.38</v>
      </c>
      <c r="G11" s="73">
        <v>1498300.0464107399</v>
      </c>
      <c r="H11" s="74">
        <v>565280.33358925697</v>
      </c>
      <c r="I11" s="75">
        <v>0.37728112933281699</v>
      </c>
      <c r="J11" s="73">
        <v>1359435.81</v>
      </c>
      <c r="K11" s="74">
        <v>704144.57</v>
      </c>
      <c r="L11" s="75">
        <v>0.51796823713213802</v>
      </c>
      <c r="N11" s="76">
        <v>36261.15</v>
      </c>
      <c r="O11" s="77">
        <v>25644.645390000001</v>
      </c>
      <c r="P11" s="78">
        <v>10616.50461</v>
      </c>
      <c r="Q11" s="75">
        <v>0.41398523740709797</v>
      </c>
      <c r="R11" s="77">
        <v>24423.471799999999</v>
      </c>
      <c r="S11" s="78">
        <v>11837.6782</v>
      </c>
      <c r="T11" s="75">
        <v>0.484684499277453</v>
      </c>
    </row>
    <row r="12" spans="4:20" ht="14.25" customHeight="1">
      <c r="F12" s="79">
        <f>SUM(F5:F11)</f>
        <v>14896625.460000001</v>
      </c>
      <c r="G12" s="79">
        <f>SUM(G5:G11)</f>
        <v>13478580.154207401</v>
      </c>
      <c r="H12" s="79">
        <f>F12-G12</f>
        <v>1418045.3057925999</v>
      </c>
      <c r="I12" s="80">
        <f>IFERROR(F12/G12-1,0)</f>
        <v>0.10520732076886818</v>
      </c>
      <c r="J12" s="79">
        <f>SUM(J5:J11)</f>
        <v>14682267.880000001</v>
      </c>
      <c r="K12" s="79">
        <f>F12-J12</f>
        <v>214357.58000000007</v>
      </c>
      <c r="L12" s="80">
        <f>IFERROR(F12/J12-1,0)</f>
        <v>1.4599759502549103E-2</v>
      </c>
      <c r="N12" s="81">
        <f>SUM(N5:N11)</f>
        <v>418162.35500000004</v>
      </c>
      <c r="O12" s="81">
        <f>SUM(O5:O11)</f>
        <v>404181.25849000004</v>
      </c>
      <c r="P12" s="81">
        <f>N12-O12</f>
        <v>13981.096510000003</v>
      </c>
      <c r="Q12" s="80">
        <f>IFERROR(N12/O12-1,0)</f>
        <v>3.4591154874999974E-2</v>
      </c>
      <c r="R12" s="81">
        <f>SUM(R5:R11)</f>
        <v>386802.01759999996</v>
      </c>
      <c r="S12" s="81">
        <f>N12-R12</f>
        <v>31360.337400000077</v>
      </c>
      <c r="T12" s="80">
        <f>IFERROR(N12/R12-1,0)</f>
        <v>8.1075940592508555E-2</v>
      </c>
    </row>
    <row r="14" spans="4:20" ht="15" customHeight="1"/>
    <row r="15" spans="4:20" ht="15" customHeight="1">
      <c r="E15" s="64" t="s">
        <v>62</v>
      </c>
      <c r="F15" s="310" t="s">
        <v>49</v>
      </c>
      <c r="G15" s="310"/>
      <c r="H15" s="310"/>
      <c r="I15" s="310"/>
      <c r="J15" s="310"/>
      <c r="K15" s="310"/>
      <c r="L15" s="310"/>
      <c r="N15" s="310" t="s">
        <v>50</v>
      </c>
      <c r="O15" s="310"/>
      <c r="P15" s="310"/>
      <c r="Q15" s="310"/>
      <c r="R15" s="310"/>
      <c r="S15" s="310"/>
      <c r="T15" s="310"/>
    </row>
    <row r="16" spans="4:20" ht="14.25" customHeight="1">
      <c r="D16" s="65" t="s">
        <v>51</v>
      </c>
      <c r="E16" s="66" t="s">
        <v>52</v>
      </c>
      <c r="F16" s="67">
        <v>2020</v>
      </c>
      <c r="G16" s="67" t="s">
        <v>53</v>
      </c>
      <c r="H16" s="68" t="s">
        <v>54</v>
      </c>
      <c r="I16" s="69" t="s">
        <v>55</v>
      </c>
      <c r="J16" s="67">
        <v>2019</v>
      </c>
      <c r="K16" s="68" t="s">
        <v>54</v>
      </c>
      <c r="L16" s="69" t="s">
        <v>55</v>
      </c>
      <c r="N16" s="67">
        <v>2020</v>
      </c>
      <c r="O16" s="67" t="s">
        <v>53</v>
      </c>
      <c r="P16" s="68" t="s">
        <v>54</v>
      </c>
      <c r="Q16" s="69" t="s">
        <v>55</v>
      </c>
      <c r="R16" s="67">
        <v>2019</v>
      </c>
      <c r="S16" s="68" t="s">
        <v>54</v>
      </c>
      <c r="T16" s="69" t="s">
        <v>55</v>
      </c>
    </row>
    <row r="17" spans="4:20" ht="14.25" customHeight="1">
      <c r="D17" s="70">
        <v>1</v>
      </c>
      <c r="E17" s="71" t="s">
        <v>56</v>
      </c>
      <c r="F17" s="72"/>
      <c r="G17" s="73">
        <f>SUM(L44:L55)</f>
        <v>-38128.941400000003</v>
      </c>
      <c r="H17" s="74"/>
      <c r="I17" s="75"/>
      <c r="J17" s="73"/>
      <c r="K17" s="74"/>
      <c r="L17" s="75"/>
      <c r="N17" s="76"/>
      <c r="O17" s="77">
        <f>SUM(H44:H55)</f>
        <v>-348.5</v>
      </c>
      <c r="P17" s="78"/>
      <c r="Q17" s="75"/>
      <c r="R17" s="77"/>
      <c r="S17" s="78"/>
      <c r="T17" s="75"/>
    </row>
    <row r="18" spans="4:20" ht="14.25" customHeight="1">
      <c r="D18" s="70">
        <v>2</v>
      </c>
      <c r="E18" s="71" t="s">
        <v>57</v>
      </c>
      <c r="F18" s="72"/>
      <c r="G18" s="73">
        <f>SUM(L63:L65)</f>
        <v>-5825.8174999999992</v>
      </c>
      <c r="H18" s="74"/>
      <c r="I18" s="75"/>
      <c r="J18" s="73"/>
      <c r="K18" s="74"/>
      <c r="L18" s="75"/>
      <c r="N18" s="76"/>
      <c r="O18" s="77">
        <f>SUM(H63:H65)</f>
        <v>-50</v>
      </c>
      <c r="P18" s="78"/>
      <c r="Q18" s="75"/>
      <c r="R18" s="77"/>
      <c r="S18" s="78"/>
      <c r="T18" s="75"/>
    </row>
    <row r="19" spans="4:20" ht="14.25" customHeight="1">
      <c r="D19" s="70">
        <v>3</v>
      </c>
      <c r="E19" s="71" t="s">
        <v>131</v>
      </c>
      <c r="F19" s="72"/>
      <c r="G19" s="73">
        <f>SUM(L73:L74)</f>
        <v>-11085.327499999999</v>
      </c>
      <c r="H19" s="74"/>
      <c r="I19" s="75"/>
      <c r="J19" s="73"/>
      <c r="K19" s="74"/>
      <c r="L19" s="75"/>
      <c r="N19" s="76"/>
      <c r="O19" s="77">
        <f>SUM(H73:H74)</f>
        <v>-65</v>
      </c>
      <c r="P19" s="78"/>
      <c r="Q19" s="75"/>
      <c r="R19" s="77"/>
      <c r="S19" s="78"/>
      <c r="T19" s="75"/>
    </row>
    <row r="20" spans="4:20" ht="14.25" customHeight="1">
      <c r="D20" s="70">
        <v>4</v>
      </c>
      <c r="E20" s="71" t="s">
        <v>132</v>
      </c>
      <c r="F20" s="72"/>
      <c r="G20" s="73"/>
      <c r="H20" s="74"/>
      <c r="I20" s="75"/>
      <c r="J20" s="73"/>
      <c r="K20" s="74"/>
      <c r="L20" s="75"/>
      <c r="N20" s="76"/>
      <c r="O20" s="77"/>
      <c r="P20" s="78"/>
      <c r="Q20" s="75"/>
      <c r="R20" s="77"/>
      <c r="S20" s="78"/>
      <c r="T20" s="75"/>
    </row>
    <row r="21" spans="4:20" ht="14.25" customHeight="1">
      <c r="D21" s="70">
        <v>5</v>
      </c>
      <c r="E21" s="71" t="s">
        <v>59</v>
      </c>
      <c r="F21" s="72"/>
      <c r="G21" s="73"/>
      <c r="H21" s="74"/>
      <c r="I21" s="75"/>
      <c r="J21" s="73"/>
      <c r="K21" s="74"/>
      <c r="L21" s="75"/>
      <c r="N21" s="76"/>
      <c r="O21" s="77"/>
      <c r="P21" s="78"/>
      <c r="Q21" s="75"/>
      <c r="R21" s="77"/>
      <c r="S21" s="78"/>
      <c r="T21" s="75"/>
    </row>
    <row r="22" spans="4:20" ht="14.25" customHeight="1">
      <c r="D22" s="70">
        <v>6</v>
      </c>
      <c r="E22" s="71" t="s">
        <v>60</v>
      </c>
      <c r="F22" s="72"/>
      <c r="G22" s="73">
        <f>SUM(L82:L88)</f>
        <v>-53557.191000000006</v>
      </c>
      <c r="H22" s="74"/>
      <c r="I22" s="75"/>
      <c r="J22" s="73"/>
      <c r="K22" s="74"/>
      <c r="L22" s="75"/>
      <c r="N22" s="76"/>
      <c r="O22" s="77">
        <f>SUM(H82:H88)</f>
        <v>-243</v>
      </c>
      <c r="P22" s="78"/>
      <c r="Q22" s="75"/>
      <c r="R22" s="77"/>
      <c r="S22" s="78"/>
      <c r="T22" s="75"/>
    </row>
    <row r="23" spans="4:20" ht="14.25" customHeight="1">
      <c r="D23" s="70">
        <v>7</v>
      </c>
      <c r="E23" s="71" t="s">
        <v>61</v>
      </c>
      <c r="F23" s="72"/>
      <c r="G23" s="73">
        <f>SUM(L96:L97)</f>
        <v>-26003.068874999997</v>
      </c>
      <c r="H23" s="74"/>
      <c r="I23" s="75"/>
      <c r="J23" s="73"/>
      <c r="K23" s="74"/>
      <c r="L23" s="75"/>
      <c r="N23" s="76"/>
      <c r="O23" s="77">
        <f>SUM(H96:H97)</f>
        <v>-89.25</v>
      </c>
      <c r="P23" s="78"/>
      <c r="Q23" s="75"/>
      <c r="R23" s="77"/>
      <c r="S23" s="78"/>
      <c r="T23" s="75"/>
    </row>
    <row r="24" spans="4:20" ht="14.25" customHeight="1">
      <c r="F24" s="79">
        <f>SUM(F17:F23)</f>
        <v>0</v>
      </c>
      <c r="G24" s="79">
        <f>SUM(G17:G23)</f>
        <v>-134600.34627500002</v>
      </c>
      <c r="H24" s="79">
        <f>F24-G24</f>
        <v>134600.34627500002</v>
      </c>
      <c r="I24" s="80">
        <f>IFERROR(F24/G24-1,0)</f>
        <v>-1</v>
      </c>
      <c r="J24" s="79">
        <f>SUM(J17:J23)</f>
        <v>0</v>
      </c>
      <c r="K24" s="79">
        <f>F24-J24</f>
        <v>0</v>
      </c>
      <c r="L24" s="80">
        <f>IFERROR(F24/J24-1,0)</f>
        <v>0</v>
      </c>
      <c r="N24" s="81">
        <f>SUM(N17:N23)</f>
        <v>0</v>
      </c>
      <c r="O24" s="81">
        <f>SUM(O17:O23)</f>
        <v>-795.75</v>
      </c>
      <c r="P24" s="81">
        <f>N24-O24</f>
        <v>795.75</v>
      </c>
      <c r="Q24" s="80">
        <f>IFERROR(N24/O24-1,0)</f>
        <v>-1</v>
      </c>
      <c r="R24" s="81">
        <f>SUM(R17:R23)</f>
        <v>0</v>
      </c>
      <c r="S24" s="81">
        <f>N24-R24</f>
        <v>0</v>
      </c>
      <c r="T24" s="80">
        <f>IFERROR(N24/R24-1,0)</f>
        <v>0</v>
      </c>
    </row>
    <row r="27" spans="4:20" ht="15" customHeight="1"/>
    <row r="28" spans="4:20" ht="15" customHeight="1">
      <c r="E28" s="64" t="s">
        <v>63</v>
      </c>
      <c r="F28" s="310" t="s">
        <v>49</v>
      </c>
      <c r="G28" s="310"/>
      <c r="H28" s="310"/>
      <c r="I28" s="310"/>
      <c r="J28" s="310"/>
      <c r="K28" s="310"/>
      <c r="L28" s="310"/>
      <c r="N28" s="310" t="s">
        <v>50</v>
      </c>
      <c r="O28" s="310"/>
      <c r="P28" s="310"/>
      <c r="Q28" s="310"/>
      <c r="R28" s="310"/>
      <c r="S28" s="310"/>
      <c r="T28" s="310"/>
    </row>
    <row r="29" spans="4:20" ht="14.25" customHeight="1">
      <c r="D29" s="65" t="s">
        <v>51</v>
      </c>
      <c r="E29" s="66" t="s">
        <v>52</v>
      </c>
      <c r="F29" s="67">
        <v>2020</v>
      </c>
      <c r="G29" s="67" t="s">
        <v>53</v>
      </c>
      <c r="H29" s="68" t="s">
        <v>54</v>
      </c>
      <c r="I29" s="69" t="s">
        <v>55</v>
      </c>
      <c r="J29" s="67">
        <v>2019</v>
      </c>
      <c r="K29" s="68" t="s">
        <v>54</v>
      </c>
      <c r="L29" s="69" t="s">
        <v>55</v>
      </c>
      <c r="N29" s="67">
        <v>2020</v>
      </c>
      <c r="O29" s="67" t="s">
        <v>53</v>
      </c>
      <c r="P29" s="68" t="s">
        <v>54</v>
      </c>
      <c r="Q29" s="69" t="s">
        <v>55</v>
      </c>
      <c r="R29" s="67">
        <v>2019</v>
      </c>
      <c r="S29" s="68" t="s">
        <v>54</v>
      </c>
      <c r="T29" s="69" t="s">
        <v>55</v>
      </c>
    </row>
    <row r="30" spans="4:20" ht="14.25" customHeight="1">
      <c r="D30" s="70">
        <v>1</v>
      </c>
      <c r="E30" s="71" t="s">
        <v>56</v>
      </c>
      <c r="F30" s="72">
        <f>F5</f>
        <v>5866628.8799999999</v>
      </c>
      <c r="G30" s="73">
        <f>G5+G17</f>
        <v>4337268.89882176</v>
      </c>
      <c r="H30" s="74">
        <f t="shared" ref="H30:H37" si="0">F30-G30</f>
        <v>1529359.9811782399</v>
      </c>
      <c r="I30" s="75">
        <f t="shared" ref="I30:I37" si="1">IFERROR(F30/G30-1,0)</f>
        <v>0.35260898432967758</v>
      </c>
      <c r="J30" s="73">
        <v>5842159.1699999999</v>
      </c>
      <c r="K30" s="74">
        <f t="shared" ref="K30:K37" si="2">F30-J30</f>
        <v>24469.709999999963</v>
      </c>
      <c r="L30" s="75">
        <f t="shared" ref="L30:L37" si="3">IFERROR(F30/J30-1,0)</f>
        <v>4.1884702706584953E-3</v>
      </c>
      <c r="N30" s="76">
        <f>N5</f>
        <v>197180.65109999999</v>
      </c>
      <c r="O30" s="77">
        <f>O5+O17</f>
        <v>145029.94320000001</v>
      </c>
      <c r="P30" s="78">
        <f t="shared" ref="P30:P37" si="4">N30-O30</f>
        <v>52150.707899999979</v>
      </c>
      <c r="Q30" s="75">
        <f t="shared" ref="Q30:Q37" si="5">IFERROR(N30/O30-1,0)</f>
        <v>0.35958579827948234</v>
      </c>
      <c r="R30" s="77">
        <v>173656.21239999999</v>
      </c>
      <c r="S30" s="78">
        <f t="shared" ref="S30:S37" si="6">N30-R30</f>
        <v>23524.438699999999</v>
      </c>
      <c r="T30" s="75">
        <f t="shared" ref="T30:T37" si="7">IFERROR(N30/R30-1,0)</f>
        <v>0.13546557520104008</v>
      </c>
    </row>
    <row r="31" spans="4:20" ht="14.25" customHeight="1">
      <c r="D31" s="70">
        <v>2</v>
      </c>
      <c r="E31" s="71" t="s">
        <v>57</v>
      </c>
      <c r="F31" s="72">
        <f>F6</f>
        <v>2114853.9</v>
      </c>
      <c r="G31" s="73">
        <f>G6+G18</f>
        <v>2513753.6525520002</v>
      </c>
      <c r="H31" s="74">
        <f t="shared" si="0"/>
        <v>-398899.75255200034</v>
      </c>
      <c r="I31" s="75">
        <f t="shared" si="1"/>
        <v>-0.15868689127394464</v>
      </c>
      <c r="J31" s="73">
        <v>2674387.91</v>
      </c>
      <c r="K31" s="74">
        <f t="shared" si="2"/>
        <v>-559534.01000000024</v>
      </c>
      <c r="L31" s="75">
        <f t="shared" si="3"/>
        <v>-0.20921946584779472</v>
      </c>
      <c r="N31" s="76">
        <f>N6</f>
        <v>28197.387999999999</v>
      </c>
      <c r="O31" s="77">
        <f>O6+O18</f>
        <v>40269.120000000003</v>
      </c>
      <c r="P31" s="78">
        <f t="shared" si="4"/>
        <v>-12071.732000000004</v>
      </c>
      <c r="Q31" s="75">
        <f t="shared" si="5"/>
        <v>-0.29977640435152297</v>
      </c>
      <c r="R31" s="77">
        <v>47224.029699999999</v>
      </c>
      <c r="S31" s="78">
        <f t="shared" si="6"/>
        <v>-19026.6417</v>
      </c>
      <c r="T31" s="75">
        <f t="shared" si="7"/>
        <v>-0.40290169688759114</v>
      </c>
    </row>
    <row r="32" spans="4:20" ht="14.25" customHeight="1">
      <c r="D32" s="70">
        <v>3</v>
      </c>
      <c r="E32" s="71" t="s">
        <v>131</v>
      </c>
      <c r="F32" s="72">
        <f>F7</f>
        <v>2003033</v>
      </c>
      <c r="G32" s="73">
        <f>G7+G19</f>
        <v>1681788.4011024002</v>
      </c>
      <c r="H32" s="74">
        <f t="shared" si="0"/>
        <v>321244.59889759985</v>
      </c>
      <c r="I32" s="75">
        <f t="shared" si="1"/>
        <v>0.19101368441298927</v>
      </c>
      <c r="J32" s="73">
        <v>1403179.91</v>
      </c>
      <c r="K32" s="74">
        <f t="shared" si="2"/>
        <v>599853.09000000008</v>
      </c>
      <c r="L32" s="75">
        <f t="shared" si="3"/>
        <v>0.42749549485781912</v>
      </c>
      <c r="N32" s="76">
        <f>N7</f>
        <v>80334.683999999994</v>
      </c>
      <c r="O32" s="77">
        <f>O7+O19</f>
        <v>62872.68</v>
      </c>
      <c r="P32" s="78">
        <f t="shared" si="4"/>
        <v>17462.003999999994</v>
      </c>
      <c r="Q32" s="75">
        <f t="shared" si="5"/>
        <v>0.27773595781188254</v>
      </c>
      <c r="R32" s="77">
        <v>36118.063900000001</v>
      </c>
      <c r="S32" s="78">
        <f t="shared" si="6"/>
        <v>44216.620099999993</v>
      </c>
      <c r="T32" s="75">
        <f t="shared" si="7"/>
        <v>1.2242245382372223</v>
      </c>
    </row>
    <row r="33" spans="1:20" ht="14.25" customHeight="1">
      <c r="D33" s="70"/>
      <c r="E33" s="71"/>
      <c r="F33" s="72">
        <f>F8</f>
        <v>1402135.55</v>
      </c>
      <c r="G33" s="73">
        <f>G8+G20</f>
        <v>2122986.7383400002</v>
      </c>
      <c r="H33" s="74">
        <f t="shared" si="0"/>
        <v>-720851.18834000011</v>
      </c>
      <c r="I33" s="75">
        <f t="shared" si="1"/>
        <v>-0.33954578016047621</v>
      </c>
      <c r="J33" s="73">
        <v>1816329.76</v>
      </c>
      <c r="K33" s="74">
        <f t="shared" si="2"/>
        <v>-414194.20999999996</v>
      </c>
      <c r="L33" s="75">
        <f t="shared" si="3"/>
        <v>-0.22803910342800304</v>
      </c>
      <c r="N33" s="76">
        <f>N8</f>
        <v>53684.4</v>
      </c>
      <c r="O33" s="77">
        <f>O8+O20</f>
        <v>103176.28</v>
      </c>
      <c r="P33" s="78">
        <f t="shared" si="4"/>
        <v>-49491.88</v>
      </c>
      <c r="Q33" s="75">
        <f t="shared" si="5"/>
        <v>-0.47968273327939326</v>
      </c>
      <c r="R33" s="77">
        <v>79547.88</v>
      </c>
      <c r="S33" s="78">
        <f t="shared" si="6"/>
        <v>-25863.480000000003</v>
      </c>
      <c r="T33" s="75">
        <f t="shared" si="7"/>
        <v>-0.32513097772058797</v>
      </c>
    </row>
    <row r="34" spans="1:20" ht="14.25" customHeight="1">
      <c r="D34" s="70">
        <v>5</v>
      </c>
      <c r="E34" s="71" t="s">
        <v>59</v>
      </c>
      <c r="F34" s="72">
        <f>F9</f>
        <v>145340.29999999999</v>
      </c>
      <c r="G34" s="73">
        <f>G9+G21</f>
        <v>176526.42</v>
      </c>
      <c r="H34" s="74">
        <f t="shared" si="0"/>
        <v>-31186.120000000024</v>
      </c>
      <c r="I34" s="75">
        <f t="shared" si="1"/>
        <v>-0.17666545325056737</v>
      </c>
      <c r="J34" s="73">
        <v>191931.4</v>
      </c>
      <c r="K34" s="74">
        <f t="shared" si="2"/>
        <v>-46591.100000000006</v>
      </c>
      <c r="L34" s="75">
        <f t="shared" si="3"/>
        <v>-0.24274871125829334</v>
      </c>
      <c r="N34" s="76">
        <f>N9</f>
        <v>150</v>
      </c>
      <c r="O34" s="77">
        <f>O9+O21</f>
        <v>200</v>
      </c>
      <c r="P34" s="78">
        <f t="shared" si="4"/>
        <v>-50</v>
      </c>
      <c r="Q34" s="75">
        <f t="shared" si="5"/>
        <v>-0.25</v>
      </c>
      <c r="R34" s="77">
        <v>230</v>
      </c>
      <c r="S34" s="78">
        <f t="shared" si="6"/>
        <v>-80</v>
      </c>
      <c r="T34" s="75">
        <f t="shared" si="7"/>
        <v>-0.34782608695652173</v>
      </c>
    </row>
    <row r="35" spans="1:20" ht="14.25" customHeight="1">
      <c r="D35" s="70">
        <v>6</v>
      </c>
      <c r="E35" s="71" t="s">
        <v>60</v>
      </c>
      <c r="F35" s="72">
        <f>F10+F8</f>
        <v>2703189</v>
      </c>
      <c r="G35" s="73">
        <f>+G8+G10+G22</f>
        <v>3162345.4579205001</v>
      </c>
      <c r="H35" s="74">
        <f t="shared" si="0"/>
        <v>-459156.45792050008</v>
      </c>
      <c r="I35" s="75">
        <f t="shared" si="1"/>
        <v>-0.14519490802957147</v>
      </c>
      <c r="J35" s="73">
        <f>J10+J8</f>
        <v>3211173.6799999997</v>
      </c>
      <c r="K35" s="74">
        <f t="shared" si="2"/>
        <v>-507984.6799999997</v>
      </c>
      <c r="L35" s="75">
        <f t="shared" si="3"/>
        <v>-0.15819283870064593</v>
      </c>
      <c r="N35" s="76">
        <f>N10+N8</f>
        <v>76038.481899999999</v>
      </c>
      <c r="O35" s="77">
        <f>+O8+O10+O22</f>
        <v>129458.36989999999</v>
      </c>
      <c r="P35" s="78">
        <f t="shared" si="4"/>
        <v>-53419.887999999992</v>
      </c>
      <c r="Q35" s="75">
        <f t="shared" si="5"/>
        <v>-0.41264143864366698</v>
      </c>
      <c r="R35" s="77">
        <v>25602.359799999998</v>
      </c>
      <c r="S35" s="78">
        <f t="shared" si="6"/>
        <v>50436.122100000001</v>
      </c>
      <c r="T35" s="75">
        <f t="shared" si="7"/>
        <v>1.9699794274432469</v>
      </c>
    </row>
    <row r="36" spans="1:20" ht="14.25" customHeight="1">
      <c r="D36" s="70">
        <v>7</v>
      </c>
      <c r="E36" s="71" t="s">
        <v>61</v>
      </c>
      <c r="F36" s="72">
        <f>F11</f>
        <v>2063580.38</v>
      </c>
      <c r="G36" s="73">
        <f>G11+G23</f>
        <v>1472296.97753574</v>
      </c>
      <c r="H36" s="74">
        <f t="shared" si="0"/>
        <v>591283.40246425988</v>
      </c>
      <c r="I36" s="75">
        <f t="shared" si="1"/>
        <v>0.40160606962185152</v>
      </c>
      <c r="J36" s="73">
        <v>1359435.81</v>
      </c>
      <c r="K36" s="74">
        <f t="shared" si="2"/>
        <v>704144.56999999983</v>
      </c>
      <c r="L36" s="75">
        <f t="shared" si="3"/>
        <v>0.51796823713213769</v>
      </c>
      <c r="N36" s="76">
        <f>N11</f>
        <v>36261.15</v>
      </c>
      <c r="O36" s="77">
        <f>O11+O23</f>
        <v>25555.395390000001</v>
      </c>
      <c r="P36" s="78">
        <f t="shared" si="4"/>
        <v>10705.75461</v>
      </c>
      <c r="Q36" s="75">
        <f t="shared" si="5"/>
        <v>0.41892345810424181</v>
      </c>
      <c r="R36" s="77">
        <v>24423.471799999999</v>
      </c>
      <c r="S36" s="78">
        <f t="shared" si="6"/>
        <v>11837.678200000002</v>
      </c>
      <c r="T36" s="75">
        <f t="shared" si="7"/>
        <v>0.48468449927745327</v>
      </c>
    </row>
    <row r="37" spans="1:20" ht="14.25" customHeight="1">
      <c r="F37" s="79">
        <f>SUM(F30:F36)</f>
        <v>16298761.010000002</v>
      </c>
      <c r="G37" s="79">
        <f>SUM(G30:G36)</f>
        <v>15466966.546272401</v>
      </c>
      <c r="H37" s="79">
        <f t="shared" si="0"/>
        <v>831794.46372760087</v>
      </c>
      <c r="I37" s="80">
        <f t="shared" si="1"/>
        <v>5.3778771761038513E-2</v>
      </c>
      <c r="J37" s="79">
        <f>SUM(J30:J36)</f>
        <v>16498597.640000001</v>
      </c>
      <c r="K37" s="79">
        <f t="shared" si="2"/>
        <v>-199836.62999999896</v>
      </c>
      <c r="L37" s="80">
        <f t="shared" si="3"/>
        <v>-1.2112340355249662E-2</v>
      </c>
      <c r="N37" s="81">
        <f>SUM(N30:N36)</f>
        <v>471846.75500000006</v>
      </c>
      <c r="O37" s="81">
        <f>SUM(O30:O36)</f>
        <v>506561.78849000001</v>
      </c>
      <c r="P37" s="81">
        <f t="shared" si="4"/>
        <v>-34715.033489999943</v>
      </c>
      <c r="Q37" s="80">
        <f t="shared" si="5"/>
        <v>-6.853069907519338E-2</v>
      </c>
      <c r="R37" s="81">
        <f>SUM(R30:R36)</f>
        <v>386802.01759999996</v>
      </c>
      <c r="S37" s="81">
        <f t="shared" si="6"/>
        <v>85044.7374000001</v>
      </c>
      <c r="T37" s="80">
        <f t="shared" si="7"/>
        <v>0.21986632315849675</v>
      </c>
    </row>
    <row r="40" spans="1:20" ht="15" customHeight="1"/>
    <row r="41" spans="1:20" ht="14.25" customHeight="1">
      <c r="F41" s="311" t="s">
        <v>130</v>
      </c>
      <c r="G41" s="311"/>
      <c r="H41" s="311"/>
      <c r="I41" s="311"/>
      <c r="J41" s="311"/>
      <c r="K41" s="311"/>
      <c r="L41" s="311"/>
      <c r="M41" s="311"/>
    </row>
    <row r="42" spans="1:20" ht="15" customHeight="1">
      <c r="C42" s="64" t="s">
        <v>64</v>
      </c>
      <c r="F42" s="312" t="s">
        <v>2</v>
      </c>
      <c r="G42" s="312"/>
      <c r="H42" s="312"/>
      <c r="I42" s="312"/>
      <c r="J42" s="313" t="s">
        <v>4</v>
      </c>
      <c r="K42" s="313"/>
      <c r="L42" s="313"/>
      <c r="M42" s="313"/>
    </row>
    <row r="43" spans="1:20" ht="14.25" customHeight="1">
      <c r="A43" s="67" t="s">
        <v>65</v>
      </c>
      <c r="B43" s="82" t="s">
        <v>66</v>
      </c>
      <c r="C43" s="82" t="s">
        <v>67</v>
      </c>
      <c r="D43" s="82" t="s">
        <v>68</v>
      </c>
      <c r="E43" s="83" t="s">
        <v>69</v>
      </c>
      <c r="F43" s="84" t="s">
        <v>53</v>
      </c>
      <c r="G43" s="85">
        <v>2020</v>
      </c>
      <c r="H43" s="86" t="s">
        <v>70</v>
      </c>
      <c r="I43" s="9" t="s">
        <v>9</v>
      </c>
      <c r="J43" s="19" t="s">
        <v>53</v>
      </c>
      <c r="K43" s="87">
        <v>2020</v>
      </c>
      <c r="L43" s="88" t="s">
        <v>70</v>
      </c>
      <c r="M43" s="89" t="s">
        <v>9</v>
      </c>
    </row>
    <row r="44" spans="1:20" ht="14.25" customHeight="1">
      <c r="A44" s="90">
        <v>1</v>
      </c>
      <c r="B44" s="55" t="s">
        <v>87</v>
      </c>
      <c r="C44" s="55" t="s">
        <v>88</v>
      </c>
      <c r="D44" s="55" t="s">
        <v>73</v>
      </c>
      <c r="E44" s="55" t="s">
        <v>74</v>
      </c>
      <c r="F44" s="59">
        <v>787.5</v>
      </c>
      <c r="G44" s="59">
        <v>720</v>
      </c>
      <c r="H44" s="59">
        <v>-67.5</v>
      </c>
      <c r="I44" s="91">
        <v>-8.5714285714285701E-2</v>
      </c>
      <c r="J44" s="92">
        <v>104268.9375</v>
      </c>
      <c r="K44" s="92">
        <v>99594</v>
      </c>
      <c r="L44" s="92">
        <v>-4674.9375</v>
      </c>
      <c r="M44" s="91">
        <v>-4.4835380623304097E-2</v>
      </c>
    </row>
    <row r="45" spans="1:20" ht="14.25" customHeight="1">
      <c r="A45" s="90">
        <v>1</v>
      </c>
      <c r="B45" s="55" t="s">
        <v>87</v>
      </c>
      <c r="C45" s="55" t="s">
        <v>88</v>
      </c>
      <c r="D45" s="55" t="s">
        <v>77</v>
      </c>
      <c r="E45" s="55" t="s">
        <v>78</v>
      </c>
      <c r="F45" s="59">
        <v>12.6</v>
      </c>
      <c r="G45" s="59">
        <v>0</v>
      </c>
      <c r="H45" s="59">
        <v>-12.6</v>
      </c>
      <c r="I45" s="91">
        <v>-1</v>
      </c>
      <c r="J45" s="92">
        <v>3683.0997000000002</v>
      </c>
      <c r="K45" s="92">
        <v>0</v>
      </c>
      <c r="L45" s="92">
        <v>-3683.0997000000002</v>
      </c>
      <c r="M45" s="91">
        <v>-1</v>
      </c>
    </row>
    <row r="46" spans="1:20" ht="14.25" customHeight="1">
      <c r="A46" s="90">
        <v>1</v>
      </c>
      <c r="B46" s="55" t="s">
        <v>85</v>
      </c>
      <c r="C46" s="55" t="s">
        <v>86</v>
      </c>
      <c r="D46" s="55" t="s">
        <v>77</v>
      </c>
      <c r="E46" s="55" t="s">
        <v>78</v>
      </c>
      <c r="F46" s="59">
        <v>15.75</v>
      </c>
      <c r="G46" s="59">
        <v>10</v>
      </c>
      <c r="H46" s="59">
        <v>-5.75</v>
      </c>
      <c r="I46" s="91">
        <v>-0.365079365079365</v>
      </c>
      <c r="J46" s="92">
        <v>4716.1642499999998</v>
      </c>
      <c r="K46" s="92">
        <v>3118.31</v>
      </c>
      <c r="L46" s="92">
        <v>-1597.8542500000001</v>
      </c>
      <c r="M46" s="91">
        <v>-0.338803774698899</v>
      </c>
    </row>
    <row r="47" spans="1:20" ht="14.25" customHeight="1">
      <c r="A47" s="90">
        <v>1</v>
      </c>
      <c r="B47" s="55" t="s">
        <v>133</v>
      </c>
      <c r="C47" s="55" t="s">
        <v>134</v>
      </c>
      <c r="D47" s="55" t="s">
        <v>77</v>
      </c>
      <c r="E47" s="55" t="s">
        <v>78</v>
      </c>
      <c r="F47" s="59">
        <v>3.15</v>
      </c>
      <c r="G47" s="59">
        <v>0</v>
      </c>
      <c r="H47" s="59">
        <v>-3.15</v>
      </c>
      <c r="I47" s="91">
        <v>-1</v>
      </c>
      <c r="J47" s="92">
        <v>891.90044999999998</v>
      </c>
      <c r="K47" s="92">
        <v>0</v>
      </c>
      <c r="L47" s="92">
        <v>-891.90044999999998</v>
      </c>
      <c r="M47" s="91">
        <v>-1</v>
      </c>
    </row>
    <row r="48" spans="1:20" ht="14.25" customHeight="1">
      <c r="A48" s="90">
        <v>1</v>
      </c>
      <c r="B48" s="55" t="s">
        <v>89</v>
      </c>
      <c r="C48" s="55" t="s">
        <v>90</v>
      </c>
      <c r="D48" s="55" t="s">
        <v>77</v>
      </c>
      <c r="E48" s="55" t="s">
        <v>78</v>
      </c>
      <c r="F48" s="59">
        <v>10.5</v>
      </c>
      <c r="G48" s="59">
        <v>7</v>
      </c>
      <c r="H48" s="59">
        <v>-3.5</v>
      </c>
      <c r="I48" s="91">
        <v>-0.33333333333333298</v>
      </c>
      <c r="J48" s="92">
        <v>3144.1095</v>
      </c>
      <c r="K48" s="92">
        <v>2095.2399999999998</v>
      </c>
      <c r="L48" s="92">
        <v>-1048.8695</v>
      </c>
      <c r="M48" s="91">
        <v>-0.33359827321535701</v>
      </c>
    </row>
    <row r="49" spans="1:13" ht="14.25" customHeight="1">
      <c r="A49" s="90">
        <v>1</v>
      </c>
      <c r="B49" s="55" t="s">
        <v>75</v>
      </c>
      <c r="C49" s="55" t="s">
        <v>76</v>
      </c>
      <c r="D49" s="55" t="s">
        <v>77</v>
      </c>
      <c r="E49" s="55" t="s">
        <v>78</v>
      </c>
      <c r="F49" s="59">
        <v>126</v>
      </c>
      <c r="G49" s="59">
        <v>250</v>
      </c>
      <c r="H49" s="59">
        <v>124</v>
      </c>
      <c r="I49" s="91">
        <v>0.98412698412698396</v>
      </c>
      <c r="J49" s="92">
        <v>32082.75</v>
      </c>
      <c r="K49" s="92">
        <v>60261.56</v>
      </c>
      <c r="L49" s="92">
        <v>28178.81</v>
      </c>
      <c r="M49" s="91">
        <v>0.87831654082022304</v>
      </c>
    </row>
    <row r="50" spans="1:13" ht="14.25" customHeight="1">
      <c r="A50" s="90">
        <v>1</v>
      </c>
      <c r="B50" s="55" t="s">
        <v>81</v>
      </c>
      <c r="C50" s="55" t="s">
        <v>82</v>
      </c>
      <c r="D50" s="55" t="s">
        <v>77</v>
      </c>
      <c r="E50" s="55" t="s">
        <v>78</v>
      </c>
      <c r="F50" s="59">
        <v>42</v>
      </c>
      <c r="G50" s="59">
        <v>30</v>
      </c>
      <c r="H50" s="59">
        <v>-12</v>
      </c>
      <c r="I50" s="91">
        <v>-0.28571428571428598</v>
      </c>
      <c r="J50" s="92">
        <v>12276.999</v>
      </c>
      <c r="K50" s="92">
        <v>9200.23</v>
      </c>
      <c r="L50" s="92">
        <v>-3076.7689999999998</v>
      </c>
      <c r="M50" s="91">
        <v>-0.25061246645047403</v>
      </c>
    </row>
    <row r="51" spans="1:13" ht="14.25" customHeight="1">
      <c r="A51" s="90">
        <v>1</v>
      </c>
      <c r="B51" s="55" t="s">
        <v>71</v>
      </c>
      <c r="C51" s="55" t="s">
        <v>72</v>
      </c>
      <c r="D51" s="55" t="s">
        <v>77</v>
      </c>
      <c r="E51" s="55" t="s">
        <v>78</v>
      </c>
      <c r="F51" s="59">
        <v>5.25</v>
      </c>
      <c r="G51" s="59">
        <v>0</v>
      </c>
      <c r="H51" s="59">
        <v>-5.25</v>
      </c>
      <c r="I51" s="91">
        <v>-1</v>
      </c>
      <c r="J51" s="92">
        <v>1534.624875</v>
      </c>
      <c r="K51" s="92">
        <v>0</v>
      </c>
      <c r="L51" s="92">
        <v>-1534.624875</v>
      </c>
      <c r="M51" s="91">
        <v>-1</v>
      </c>
    </row>
    <row r="52" spans="1:13" ht="14.25" customHeight="1">
      <c r="A52" s="90">
        <v>1</v>
      </c>
      <c r="B52" s="55" t="s">
        <v>135</v>
      </c>
      <c r="C52" s="55" t="s">
        <v>136</v>
      </c>
      <c r="D52" s="55" t="s">
        <v>77</v>
      </c>
      <c r="E52" s="55" t="s">
        <v>78</v>
      </c>
      <c r="F52" s="59">
        <v>10.5</v>
      </c>
      <c r="G52" s="59">
        <v>0</v>
      </c>
      <c r="H52" s="59">
        <v>-10.5</v>
      </c>
      <c r="I52" s="91">
        <v>-1</v>
      </c>
      <c r="J52" s="92">
        <v>3069.2497499999999</v>
      </c>
      <c r="K52" s="92">
        <v>0</v>
      </c>
      <c r="L52" s="92">
        <v>-3069.2497499999999</v>
      </c>
      <c r="M52" s="91">
        <v>-1</v>
      </c>
    </row>
    <row r="53" spans="1:13" ht="14.25" customHeight="1">
      <c r="A53" s="90">
        <v>1</v>
      </c>
      <c r="B53" s="55" t="s">
        <v>83</v>
      </c>
      <c r="C53" s="55" t="s">
        <v>84</v>
      </c>
      <c r="D53" s="55" t="s">
        <v>77</v>
      </c>
      <c r="E53" s="55" t="s">
        <v>78</v>
      </c>
      <c r="F53" s="59">
        <v>21</v>
      </c>
      <c r="G53" s="59">
        <v>0</v>
      </c>
      <c r="H53" s="59">
        <v>-21</v>
      </c>
      <c r="I53" s="91">
        <v>-1</v>
      </c>
      <c r="J53" s="92">
        <v>6138.4994999999999</v>
      </c>
      <c r="K53" s="92">
        <v>0</v>
      </c>
      <c r="L53" s="92">
        <v>-6138.4994999999999</v>
      </c>
      <c r="M53" s="91">
        <v>-1</v>
      </c>
    </row>
    <row r="54" spans="1:13" ht="14.25" customHeight="1">
      <c r="A54" s="90">
        <v>1</v>
      </c>
      <c r="B54" s="55" t="s">
        <v>71</v>
      </c>
      <c r="C54" s="55" t="s">
        <v>72</v>
      </c>
      <c r="D54" s="55" t="s">
        <v>73</v>
      </c>
      <c r="E54" s="55" t="s">
        <v>74</v>
      </c>
      <c r="F54" s="59">
        <v>341.25</v>
      </c>
      <c r="G54" s="59">
        <v>0</v>
      </c>
      <c r="H54" s="59">
        <v>-341.25</v>
      </c>
      <c r="I54" s="91">
        <v>-1</v>
      </c>
      <c r="J54" s="92">
        <v>44140.516875000001</v>
      </c>
      <c r="K54" s="92">
        <v>0</v>
      </c>
      <c r="L54" s="92">
        <v>-44140.516875000001</v>
      </c>
      <c r="M54" s="91">
        <v>-1</v>
      </c>
    </row>
    <row r="55" spans="1:13" ht="14.25" customHeight="1">
      <c r="A55" s="90">
        <v>1</v>
      </c>
      <c r="B55" s="55" t="s">
        <v>83</v>
      </c>
      <c r="C55" s="55" t="s">
        <v>84</v>
      </c>
      <c r="D55" s="55" t="s">
        <v>91</v>
      </c>
      <c r="E55" s="55" t="s">
        <v>92</v>
      </c>
      <c r="F55" s="59">
        <v>0</v>
      </c>
      <c r="G55" s="59">
        <v>10</v>
      </c>
      <c r="H55" s="59">
        <v>10</v>
      </c>
      <c r="I55" s="91">
        <v>0</v>
      </c>
      <c r="J55" s="92">
        <v>0</v>
      </c>
      <c r="K55" s="92">
        <v>3548.57</v>
      </c>
      <c r="L55" s="92">
        <v>3548.57</v>
      </c>
      <c r="M55" s="91">
        <v>0</v>
      </c>
    </row>
    <row r="56" spans="1:13" ht="14.25" customHeight="1">
      <c r="F56" s="81">
        <f>SUM(F44:F55)</f>
        <v>1375.5</v>
      </c>
      <c r="G56" s="81">
        <f>SUM(G44:G55)</f>
        <v>1027</v>
      </c>
      <c r="H56" s="81">
        <f>SUM(H44:H55)</f>
        <v>-348.5</v>
      </c>
      <c r="I56" s="96">
        <f>H56/F56</f>
        <v>-0.25336241366775719</v>
      </c>
      <c r="J56" s="97">
        <f>SUM(J44:J55)</f>
        <v>215946.85140000004</v>
      </c>
      <c r="K56" s="97">
        <f>SUM(K44:K55)</f>
        <v>177817.91</v>
      </c>
      <c r="L56" s="97">
        <f>SUM(L44:L55)</f>
        <v>-38128.941400000003</v>
      </c>
      <c r="M56" s="96">
        <f>L56/J56</f>
        <v>-0.17656632246688084</v>
      </c>
    </row>
    <row r="59" spans="1:13" ht="15" customHeight="1"/>
    <row r="60" spans="1:13" ht="14.25" customHeight="1">
      <c r="F60" s="311" t="s">
        <v>130</v>
      </c>
      <c r="G60" s="311"/>
      <c r="H60" s="311"/>
      <c r="I60" s="311"/>
      <c r="J60" s="311"/>
      <c r="K60" s="311"/>
      <c r="L60" s="311"/>
      <c r="M60" s="311"/>
    </row>
    <row r="61" spans="1:13" ht="15" customHeight="1">
      <c r="C61" s="64" t="s">
        <v>93</v>
      </c>
      <c r="F61" s="312" t="s">
        <v>2</v>
      </c>
      <c r="G61" s="312"/>
      <c r="H61" s="312"/>
      <c r="I61" s="312"/>
      <c r="J61" s="313" t="s">
        <v>4</v>
      </c>
      <c r="K61" s="313"/>
      <c r="L61" s="313"/>
      <c r="M61" s="313"/>
    </row>
    <row r="62" spans="1:13" ht="14.25" customHeight="1">
      <c r="A62" s="67" t="s">
        <v>65</v>
      </c>
      <c r="B62" s="82" t="s">
        <v>66</v>
      </c>
      <c r="C62" s="82" t="s">
        <v>67</v>
      </c>
      <c r="D62" s="82" t="s">
        <v>68</v>
      </c>
      <c r="E62" s="83" t="s">
        <v>69</v>
      </c>
      <c r="F62" s="84" t="s">
        <v>53</v>
      </c>
      <c r="G62" s="85">
        <v>2020</v>
      </c>
      <c r="H62" s="86" t="s">
        <v>70</v>
      </c>
      <c r="I62" s="9" t="s">
        <v>9</v>
      </c>
      <c r="J62" s="19" t="s">
        <v>53</v>
      </c>
      <c r="K62" s="87">
        <v>2020</v>
      </c>
      <c r="L62" s="88" t="s">
        <v>70</v>
      </c>
      <c r="M62" s="89" t="s">
        <v>9</v>
      </c>
    </row>
    <row r="63" spans="1:13" ht="14.25" customHeight="1">
      <c r="A63" s="90">
        <v>2</v>
      </c>
      <c r="B63" s="55" t="s">
        <v>94</v>
      </c>
      <c r="C63" s="55" t="s">
        <v>95</v>
      </c>
      <c r="D63" s="55" t="s">
        <v>77</v>
      </c>
      <c r="E63" s="55" t="s">
        <v>78</v>
      </c>
      <c r="F63" s="98">
        <v>15</v>
      </c>
      <c r="G63" s="99">
        <v>20</v>
      </c>
      <c r="H63" s="99">
        <v>5</v>
      </c>
      <c r="I63" s="100">
        <v>0.33333333333333298</v>
      </c>
      <c r="J63" s="101">
        <v>4384.6424999999999</v>
      </c>
      <c r="K63" s="102">
        <v>5949.84</v>
      </c>
      <c r="L63" s="102">
        <v>1565.1975</v>
      </c>
      <c r="M63" s="103">
        <v>0.35697266082696599</v>
      </c>
    </row>
    <row r="64" spans="1:13" ht="14.25" customHeight="1">
      <c r="A64" s="90">
        <v>2</v>
      </c>
      <c r="B64" s="55" t="s">
        <v>137</v>
      </c>
      <c r="C64" s="55" t="s">
        <v>138</v>
      </c>
      <c r="D64" s="55" t="s">
        <v>73</v>
      </c>
      <c r="E64" s="55" t="s">
        <v>74</v>
      </c>
      <c r="F64" s="98">
        <v>75</v>
      </c>
      <c r="G64" s="99">
        <v>0</v>
      </c>
      <c r="H64" s="99">
        <v>-75</v>
      </c>
      <c r="I64" s="100">
        <v>-1</v>
      </c>
      <c r="J64" s="101">
        <v>9930.375</v>
      </c>
      <c r="K64" s="102">
        <v>0</v>
      </c>
      <c r="L64" s="102">
        <v>-9930.375</v>
      </c>
      <c r="M64" s="103">
        <v>-1</v>
      </c>
    </row>
    <row r="65" spans="1:13" ht="14.25" customHeight="1">
      <c r="A65" s="90">
        <v>2</v>
      </c>
      <c r="B65" s="55" t="s">
        <v>139</v>
      </c>
      <c r="C65" s="55" t="s">
        <v>140</v>
      </c>
      <c r="D65" s="55" t="s">
        <v>73</v>
      </c>
      <c r="E65" s="55" t="s">
        <v>105</v>
      </c>
      <c r="F65" s="98">
        <v>0</v>
      </c>
      <c r="G65" s="99">
        <v>20</v>
      </c>
      <c r="H65" s="99">
        <v>20</v>
      </c>
      <c r="I65" s="100">
        <v>0</v>
      </c>
      <c r="J65" s="101">
        <v>0</v>
      </c>
      <c r="K65" s="102">
        <v>2539.36</v>
      </c>
      <c r="L65" s="102">
        <v>2539.36</v>
      </c>
      <c r="M65" s="103">
        <v>0</v>
      </c>
    </row>
    <row r="66" spans="1:13" ht="14.25" customHeight="1">
      <c r="F66" s="81">
        <f>SUM(F63:F65)</f>
        <v>90</v>
      </c>
      <c r="G66" s="81">
        <f>SUM(G63:G65)</f>
        <v>40</v>
      </c>
      <c r="H66" s="81">
        <f>SUM(H63:H65)</f>
        <v>-50</v>
      </c>
      <c r="I66" s="96">
        <f>H66/F66</f>
        <v>-0.55555555555555558</v>
      </c>
      <c r="J66" s="97">
        <f>SUM(J63:J65)</f>
        <v>14315.0175</v>
      </c>
      <c r="K66" s="97">
        <f>SUM(K63:K65)</f>
        <v>8489.2000000000007</v>
      </c>
      <c r="L66" s="97">
        <f>SUM(L63:L65)</f>
        <v>-5825.8174999999992</v>
      </c>
      <c r="M66" s="96">
        <f>L66/J66</f>
        <v>-0.40697243297117863</v>
      </c>
    </row>
    <row r="69" spans="1:13" ht="15" customHeight="1"/>
    <row r="70" spans="1:13" ht="14.25" customHeight="1">
      <c r="F70" s="311" t="s">
        <v>130</v>
      </c>
      <c r="G70" s="311"/>
      <c r="H70" s="311"/>
      <c r="I70" s="311"/>
      <c r="J70" s="311"/>
      <c r="K70" s="311"/>
      <c r="L70" s="311"/>
      <c r="M70" s="311"/>
    </row>
    <row r="71" spans="1:13" ht="15" customHeight="1">
      <c r="C71" s="64" t="s">
        <v>96</v>
      </c>
      <c r="F71" s="312" t="s">
        <v>2</v>
      </c>
      <c r="G71" s="312"/>
      <c r="H71" s="312"/>
      <c r="I71" s="312"/>
      <c r="J71" s="313" t="s">
        <v>4</v>
      </c>
      <c r="K71" s="313"/>
      <c r="L71" s="313"/>
      <c r="M71" s="313"/>
    </row>
    <row r="72" spans="1:13" ht="14.25" customHeight="1">
      <c r="A72" s="67" t="s">
        <v>65</v>
      </c>
      <c r="B72" s="82" t="s">
        <v>66</v>
      </c>
      <c r="C72" s="82" t="s">
        <v>67</v>
      </c>
      <c r="D72" s="82" t="s">
        <v>68</v>
      </c>
      <c r="E72" s="83" t="s">
        <v>69</v>
      </c>
      <c r="F72" s="84" t="s">
        <v>53</v>
      </c>
      <c r="G72" s="85">
        <v>2020</v>
      </c>
      <c r="H72" s="86" t="s">
        <v>70</v>
      </c>
      <c r="I72" s="9" t="s">
        <v>9</v>
      </c>
      <c r="J72" s="19" t="s">
        <v>53</v>
      </c>
      <c r="K72" s="87">
        <v>2020</v>
      </c>
      <c r="L72" s="88" t="s">
        <v>70</v>
      </c>
      <c r="M72" s="89" t="s">
        <v>9</v>
      </c>
    </row>
    <row r="73" spans="1:13" ht="14.25" customHeight="1">
      <c r="A73" s="90">
        <v>3</v>
      </c>
      <c r="B73" s="55" t="s">
        <v>99</v>
      </c>
      <c r="C73" s="55" t="s">
        <v>100</v>
      </c>
      <c r="D73" s="55" t="s">
        <v>77</v>
      </c>
      <c r="E73" s="55" t="s">
        <v>78</v>
      </c>
      <c r="F73" s="59">
        <v>25</v>
      </c>
      <c r="G73" s="59">
        <v>10</v>
      </c>
      <c r="H73" s="59">
        <v>-15</v>
      </c>
      <c r="I73" s="91">
        <v>-0.6</v>
      </c>
      <c r="J73" s="92">
        <v>7307.7375000000002</v>
      </c>
      <c r="K73" s="92">
        <v>2842.66</v>
      </c>
      <c r="L73" s="92">
        <v>-4465.0775000000003</v>
      </c>
      <c r="M73" s="91">
        <v>-0.61100682666830897</v>
      </c>
    </row>
    <row r="74" spans="1:13" ht="14.25" customHeight="1">
      <c r="A74" s="90">
        <v>3</v>
      </c>
      <c r="B74" s="55" t="s">
        <v>101</v>
      </c>
      <c r="C74" s="55" t="s">
        <v>102</v>
      </c>
      <c r="D74" s="55" t="s">
        <v>73</v>
      </c>
      <c r="E74" s="55" t="s">
        <v>74</v>
      </c>
      <c r="F74" s="59">
        <v>50</v>
      </c>
      <c r="G74" s="59">
        <v>0</v>
      </c>
      <c r="H74" s="59">
        <v>-50</v>
      </c>
      <c r="I74" s="91">
        <v>-1</v>
      </c>
      <c r="J74" s="92">
        <v>6620.25</v>
      </c>
      <c r="K74" s="92">
        <v>0</v>
      </c>
      <c r="L74" s="92">
        <v>-6620.25</v>
      </c>
      <c r="M74" s="91">
        <v>-1</v>
      </c>
    </row>
    <row r="75" spans="1:13" ht="14.25" customHeight="1">
      <c r="F75" s="81">
        <f>SUM(F73:F74)</f>
        <v>75</v>
      </c>
      <c r="G75" s="81">
        <f>SUM(G73:G74)</f>
        <v>10</v>
      </c>
      <c r="H75" s="81">
        <f>SUM(H73:H74)</f>
        <v>-65</v>
      </c>
      <c r="I75" s="96">
        <f>H75/F75</f>
        <v>-0.8666666666666667</v>
      </c>
      <c r="J75" s="97">
        <f>SUM(J73:J74)</f>
        <v>13927.987499999999</v>
      </c>
      <c r="K75" s="97">
        <f>SUM(K73:K74)</f>
        <v>2842.66</v>
      </c>
      <c r="L75" s="97">
        <f>SUM(L73:L74)</f>
        <v>-11085.327499999999</v>
      </c>
      <c r="M75" s="96">
        <f>L75/J75</f>
        <v>-0.79590303337075796</v>
      </c>
    </row>
    <row r="78" spans="1:13" ht="15" customHeight="1"/>
    <row r="79" spans="1:13" ht="14.25" customHeight="1">
      <c r="F79" s="311" t="s">
        <v>130</v>
      </c>
      <c r="G79" s="311"/>
      <c r="H79" s="311"/>
      <c r="I79" s="311"/>
      <c r="J79" s="311"/>
      <c r="K79" s="311"/>
      <c r="L79" s="311"/>
      <c r="M79" s="311"/>
    </row>
    <row r="80" spans="1:13" ht="15" customHeight="1">
      <c r="C80" s="64" t="s">
        <v>41</v>
      </c>
      <c r="F80" s="312" t="s">
        <v>2</v>
      </c>
      <c r="G80" s="312"/>
      <c r="H80" s="312"/>
      <c r="I80" s="312"/>
      <c r="J80" s="313" t="s">
        <v>4</v>
      </c>
      <c r="K80" s="313"/>
      <c r="L80" s="313"/>
      <c r="M80" s="313"/>
    </row>
    <row r="81" spans="1:13" ht="14.25" customHeight="1">
      <c r="A81" s="67" t="s">
        <v>65</v>
      </c>
      <c r="B81" s="82" t="s">
        <v>66</v>
      </c>
      <c r="C81" s="82" t="s">
        <v>67</v>
      </c>
      <c r="D81" s="82" t="s">
        <v>68</v>
      </c>
      <c r="E81" s="83" t="s">
        <v>69</v>
      </c>
      <c r="F81" s="84" t="s">
        <v>53</v>
      </c>
      <c r="G81" s="85">
        <v>2020</v>
      </c>
      <c r="H81" s="86" t="s">
        <v>70</v>
      </c>
      <c r="I81" s="9" t="s">
        <v>9</v>
      </c>
      <c r="J81" s="19" t="s">
        <v>53</v>
      </c>
      <c r="K81" s="87">
        <v>2020</v>
      </c>
      <c r="L81" s="88" t="s">
        <v>70</v>
      </c>
      <c r="M81" s="89" t="s">
        <v>9</v>
      </c>
    </row>
    <row r="82" spans="1:13" ht="14.25" customHeight="1">
      <c r="A82" s="90">
        <v>6</v>
      </c>
      <c r="B82" s="55" t="s">
        <v>120</v>
      </c>
      <c r="C82" s="55" t="s">
        <v>121</v>
      </c>
      <c r="D82" s="55" t="s">
        <v>77</v>
      </c>
      <c r="E82" s="55" t="s">
        <v>78</v>
      </c>
      <c r="F82" s="59">
        <v>7</v>
      </c>
      <c r="G82" s="59">
        <v>6</v>
      </c>
      <c r="H82" s="59">
        <v>-1</v>
      </c>
      <c r="I82" s="91">
        <v>-0.14285714285714299</v>
      </c>
      <c r="J82" s="92">
        <v>2046.1665</v>
      </c>
      <c r="K82" s="92">
        <v>1840.05</v>
      </c>
      <c r="L82" s="92">
        <v>-206.1165</v>
      </c>
      <c r="M82" s="91">
        <v>-0.10073300486544</v>
      </c>
    </row>
    <row r="83" spans="1:13" ht="14.25" customHeight="1">
      <c r="A83" s="90">
        <v>6</v>
      </c>
      <c r="B83" s="55" t="s">
        <v>122</v>
      </c>
      <c r="C83" s="55" t="s">
        <v>123</v>
      </c>
      <c r="D83" s="55" t="s">
        <v>77</v>
      </c>
      <c r="E83" s="55" t="s">
        <v>78</v>
      </c>
      <c r="F83" s="59">
        <v>5</v>
      </c>
      <c r="G83" s="59">
        <v>8</v>
      </c>
      <c r="H83" s="59">
        <v>3</v>
      </c>
      <c r="I83" s="91">
        <v>0.6</v>
      </c>
      <c r="J83" s="92">
        <v>1427.9369999999999</v>
      </c>
      <c r="K83" s="92">
        <v>2221.83</v>
      </c>
      <c r="L83" s="92">
        <v>793.89300000000003</v>
      </c>
      <c r="M83" s="91">
        <v>0.55597200716838402</v>
      </c>
    </row>
    <row r="84" spans="1:13" ht="14.25" customHeight="1">
      <c r="A84" s="90">
        <v>6</v>
      </c>
      <c r="B84" s="55" t="s">
        <v>112</v>
      </c>
      <c r="C84" s="55" t="s">
        <v>113</v>
      </c>
      <c r="D84" s="55" t="s">
        <v>77</v>
      </c>
      <c r="E84" s="55" t="s">
        <v>78</v>
      </c>
      <c r="F84" s="59">
        <v>150</v>
      </c>
      <c r="G84" s="59">
        <v>40</v>
      </c>
      <c r="H84" s="59">
        <v>-110</v>
      </c>
      <c r="I84" s="91">
        <v>-0.73333333333333295</v>
      </c>
      <c r="J84" s="92">
        <v>43846.425000000003</v>
      </c>
      <c r="K84" s="92">
        <v>11370.65</v>
      </c>
      <c r="L84" s="92">
        <v>-32475.775000000001</v>
      </c>
      <c r="M84" s="91">
        <v>-0.74067098971010803</v>
      </c>
    </row>
    <row r="85" spans="1:13" ht="14.25" customHeight="1">
      <c r="A85" s="90">
        <v>6</v>
      </c>
      <c r="B85" s="55" t="s">
        <v>116</v>
      </c>
      <c r="C85" s="55" t="s">
        <v>117</v>
      </c>
      <c r="D85" s="55" t="s">
        <v>77</v>
      </c>
      <c r="E85" s="55" t="s">
        <v>78</v>
      </c>
      <c r="F85" s="59">
        <v>60</v>
      </c>
      <c r="G85" s="59">
        <v>30</v>
      </c>
      <c r="H85" s="59">
        <v>-30</v>
      </c>
      <c r="I85" s="91">
        <v>-0.5</v>
      </c>
      <c r="J85" s="92">
        <v>17538.57</v>
      </c>
      <c r="K85" s="92">
        <v>8681.2000000000007</v>
      </c>
      <c r="L85" s="92">
        <v>-8857.3700000000008</v>
      </c>
      <c r="M85" s="91">
        <v>-0.50502235929155004</v>
      </c>
    </row>
    <row r="86" spans="1:13" ht="14.25" customHeight="1">
      <c r="A86" s="90">
        <v>6</v>
      </c>
      <c r="B86" s="55" t="s">
        <v>114</v>
      </c>
      <c r="C86" s="55" t="s">
        <v>115</v>
      </c>
      <c r="D86" s="55" t="s">
        <v>73</v>
      </c>
      <c r="E86" s="55" t="s">
        <v>74</v>
      </c>
      <c r="F86" s="59">
        <v>220</v>
      </c>
      <c r="G86" s="59">
        <v>60</v>
      </c>
      <c r="H86" s="59">
        <v>-160</v>
      </c>
      <c r="I86" s="91">
        <v>-0.72727272727272696</v>
      </c>
      <c r="J86" s="92">
        <v>28008.75</v>
      </c>
      <c r="K86" s="92">
        <v>9032.5499999999993</v>
      </c>
      <c r="L86" s="92">
        <v>-18976.2</v>
      </c>
      <c r="M86" s="91">
        <v>-0.677509706788057</v>
      </c>
    </row>
    <row r="87" spans="1:13" ht="14.25" customHeight="1">
      <c r="A87" s="90">
        <v>6</v>
      </c>
      <c r="B87" s="55" t="s">
        <v>118</v>
      </c>
      <c r="C87" s="55" t="s">
        <v>119</v>
      </c>
      <c r="D87" s="55" t="s">
        <v>77</v>
      </c>
      <c r="E87" s="55" t="s">
        <v>78</v>
      </c>
      <c r="F87" s="59">
        <v>15</v>
      </c>
      <c r="G87" s="59">
        <v>0</v>
      </c>
      <c r="H87" s="59">
        <v>-15</v>
      </c>
      <c r="I87" s="91">
        <v>-1</v>
      </c>
      <c r="J87" s="92">
        <v>4384.6424999999999</v>
      </c>
      <c r="K87" s="92">
        <v>0</v>
      </c>
      <c r="L87" s="92">
        <v>-4384.6424999999999</v>
      </c>
      <c r="M87" s="91">
        <v>-1</v>
      </c>
    </row>
    <row r="88" spans="1:13" ht="14.25" customHeight="1">
      <c r="A88" s="90">
        <v>6</v>
      </c>
      <c r="B88" s="55" t="s">
        <v>116</v>
      </c>
      <c r="C88" s="55" t="s">
        <v>117</v>
      </c>
      <c r="D88" s="55" t="s">
        <v>73</v>
      </c>
      <c r="E88" s="55" t="s">
        <v>74</v>
      </c>
      <c r="F88" s="59">
        <v>150</v>
      </c>
      <c r="G88" s="59">
        <v>220</v>
      </c>
      <c r="H88" s="59">
        <v>70</v>
      </c>
      <c r="I88" s="91">
        <v>0.46666666666666701</v>
      </c>
      <c r="J88" s="92">
        <v>19860.75</v>
      </c>
      <c r="K88" s="92">
        <v>30409.77</v>
      </c>
      <c r="L88" s="92">
        <v>10549.02</v>
      </c>
      <c r="M88" s="91">
        <v>0.53114912578830098</v>
      </c>
    </row>
    <row r="89" spans="1:13" ht="14.25" customHeight="1">
      <c r="F89" s="81">
        <f>SUM(F82:F88)</f>
        <v>607</v>
      </c>
      <c r="G89" s="81">
        <f>SUM(G82:G88)</f>
        <v>364</v>
      </c>
      <c r="H89" s="81">
        <f>SUM(H82:H88)</f>
        <v>-243</v>
      </c>
      <c r="I89" s="96">
        <f>H89/F89</f>
        <v>-0.40032948929159801</v>
      </c>
      <c r="J89" s="97">
        <f>SUM(J82:J88)</f>
        <v>117113.24099999999</v>
      </c>
      <c r="K89" s="97">
        <f>SUM(K82:K88)</f>
        <v>63556.05</v>
      </c>
      <c r="L89" s="97">
        <f>SUM(L82:L88)</f>
        <v>-53557.191000000006</v>
      </c>
      <c r="M89" s="96">
        <f>L89/J89</f>
        <v>-0.45731115066655875</v>
      </c>
    </row>
    <row r="92" spans="1:13" ht="15" customHeight="1"/>
    <row r="93" spans="1:13" ht="14.25" customHeight="1">
      <c r="F93" s="311" t="s">
        <v>46</v>
      </c>
      <c r="G93" s="311"/>
      <c r="H93" s="311"/>
      <c r="I93" s="311"/>
      <c r="J93" s="311"/>
      <c r="K93" s="311"/>
      <c r="L93" s="311"/>
      <c r="M93" s="311"/>
    </row>
    <row r="94" spans="1:13" ht="15" customHeight="1">
      <c r="C94" s="64" t="s">
        <v>126</v>
      </c>
      <c r="F94" s="312" t="s">
        <v>2</v>
      </c>
      <c r="G94" s="312"/>
      <c r="H94" s="312"/>
      <c r="I94" s="312"/>
      <c r="J94" s="313" t="s">
        <v>4</v>
      </c>
      <c r="K94" s="313"/>
      <c r="L94" s="313"/>
      <c r="M94" s="313"/>
    </row>
    <row r="95" spans="1:13" ht="14.25" customHeight="1">
      <c r="A95" s="67" t="s">
        <v>65</v>
      </c>
      <c r="B95" s="82" t="s">
        <v>66</v>
      </c>
      <c r="C95" s="82" t="s">
        <v>67</v>
      </c>
      <c r="D95" s="82" t="s">
        <v>68</v>
      </c>
      <c r="E95" s="83" t="s">
        <v>69</v>
      </c>
      <c r="F95" s="84" t="s">
        <v>53</v>
      </c>
      <c r="G95" s="85">
        <v>2020</v>
      </c>
      <c r="H95" s="86" t="s">
        <v>70</v>
      </c>
      <c r="I95" s="9" t="s">
        <v>9</v>
      </c>
      <c r="J95" s="19" t="s">
        <v>53</v>
      </c>
      <c r="K95" s="87">
        <v>2020</v>
      </c>
      <c r="L95" s="88" t="s">
        <v>70</v>
      </c>
      <c r="M95" s="89" t="s">
        <v>9</v>
      </c>
    </row>
    <row r="96" spans="1:13" ht="14.25" customHeight="1">
      <c r="A96" s="90">
        <v>7</v>
      </c>
      <c r="B96" s="55" t="s">
        <v>127</v>
      </c>
      <c r="C96" s="55" t="s">
        <v>128</v>
      </c>
      <c r="D96" s="55" t="s">
        <v>91</v>
      </c>
      <c r="E96" s="55" t="s">
        <v>92</v>
      </c>
      <c r="F96" s="59">
        <v>21</v>
      </c>
      <c r="G96" s="59">
        <v>0</v>
      </c>
      <c r="H96" s="59">
        <v>-21</v>
      </c>
      <c r="I96" s="91">
        <v>-1</v>
      </c>
      <c r="J96" s="92">
        <v>6052.9454999999998</v>
      </c>
      <c r="K96" s="92">
        <v>0</v>
      </c>
      <c r="L96" s="92">
        <v>-6052.9454999999998</v>
      </c>
      <c r="M96" s="91">
        <v>-1</v>
      </c>
    </row>
    <row r="97" spans="1:13" ht="14.25" customHeight="1">
      <c r="A97" s="90">
        <v>7</v>
      </c>
      <c r="B97" s="55" t="s">
        <v>141</v>
      </c>
      <c r="C97" s="55" t="s">
        <v>142</v>
      </c>
      <c r="D97" s="55" t="s">
        <v>77</v>
      </c>
      <c r="E97" s="55" t="s">
        <v>78</v>
      </c>
      <c r="F97" s="59">
        <v>68.25</v>
      </c>
      <c r="G97" s="59">
        <v>0</v>
      </c>
      <c r="H97" s="59">
        <v>-68.25</v>
      </c>
      <c r="I97" s="91">
        <v>-1</v>
      </c>
      <c r="J97" s="92">
        <v>19950.123374999999</v>
      </c>
      <c r="K97" s="92">
        <v>0</v>
      </c>
      <c r="L97" s="92">
        <v>-19950.123374999999</v>
      </c>
      <c r="M97" s="91">
        <v>-1</v>
      </c>
    </row>
    <row r="98" spans="1:13" ht="14.25" customHeight="1">
      <c r="F98" s="81">
        <f>SUM(F96:F97)</f>
        <v>89.25</v>
      </c>
      <c r="G98" s="81">
        <f>SUM(G96:G97)</f>
        <v>0</v>
      </c>
      <c r="H98" s="81">
        <f>SUM(H96:H97)</f>
        <v>-89.25</v>
      </c>
      <c r="I98" s="96">
        <f>H98/F98</f>
        <v>-1</v>
      </c>
      <c r="J98" s="97">
        <f>SUM(J96:J97)</f>
        <v>26003.068874999997</v>
      </c>
      <c r="K98" s="97">
        <f>SUM(K96:K97)</f>
        <v>0</v>
      </c>
      <c r="L98" s="97">
        <f>SUM(L96:L97)</f>
        <v>-26003.068874999997</v>
      </c>
      <c r="M98" s="96">
        <f>L98/J98</f>
        <v>-1</v>
      </c>
    </row>
  </sheetData>
  <mergeCells count="21">
    <mergeCell ref="F93:M93"/>
    <mergeCell ref="F94:I94"/>
    <mergeCell ref="J94:M94"/>
    <mergeCell ref="F70:M70"/>
    <mergeCell ref="F71:I71"/>
    <mergeCell ref="J71:M71"/>
    <mergeCell ref="F79:M79"/>
    <mergeCell ref="F80:I80"/>
    <mergeCell ref="J80:M80"/>
    <mergeCell ref="F41:M41"/>
    <mergeCell ref="F42:I42"/>
    <mergeCell ref="J42:M42"/>
    <mergeCell ref="F60:M60"/>
    <mergeCell ref="F61:I61"/>
    <mergeCell ref="J61:M61"/>
    <mergeCell ref="F3:L3"/>
    <mergeCell ref="N3:T3"/>
    <mergeCell ref="F15:L15"/>
    <mergeCell ref="N15:T15"/>
    <mergeCell ref="F28:L28"/>
    <mergeCell ref="N28:T28"/>
  </mergeCells>
  <conditionalFormatting sqref="M97">
    <cfRule type="iconSet" priority="2">
      <iconSet iconSet="3Arrows">
        <cfvo type="percent" val="0"/>
        <cfvo type="num" val="0"/>
        <cfvo type="num" val="0"/>
      </iconSet>
    </cfRule>
  </conditionalFormatting>
  <conditionalFormatting sqref="I97">
    <cfRule type="iconSet" priority="3">
      <iconSet iconSet="3Arrows">
        <cfvo type="percent" val="0"/>
        <cfvo type="num" val="0"/>
        <cfvo type="num" val="0"/>
      </iconSet>
    </cfRule>
  </conditionalFormatting>
  <conditionalFormatting sqref="M64:M65">
    <cfRule type="iconSet" priority="4">
      <iconSet iconSet="3Arrows">
        <cfvo type="percent" val="0"/>
        <cfvo type="num" val="0"/>
        <cfvo type="num" val="0"/>
      </iconSet>
    </cfRule>
  </conditionalFormatting>
  <conditionalFormatting sqref="I64:I65">
    <cfRule type="iconSet" priority="5">
      <iconSet iconSet="3Arrows">
        <cfvo type="percent" val="0"/>
        <cfvo type="num" val="0"/>
        <cfvo type="num" val="0"/>
      </iconSet>
    </cfRule>
  </conditionalFormatting>
  <conditionalFormatting sqref="M63">
    <cfRule type="iconSet" priority="6">
      <iconSet iconSet="3Arrows">
        <cfvo type="percent" val="0"/>
        <cfvo type="num" val="0"/>
        <cfvo type="num" val="0"/>
      </iconSet>
    </cfRule>
  </conditionalFormatting>
  <conditionalFormatting sqref="I63">
    <cfRule type="iconSet" priority="7">
      <iconSet iconSet="3Arrows">
        <cfvo type="percent" val="0"/>
        <cfvo type="num" val="0"/>
        <cfvo type="num" val="0"/>
      </iconSet>
    </cfRule>
  </conditionalFormatting>
  <conditionalFormatting sqref="T12">
    <cfRule type="iconSet" priority="8">
      <iconSet iconSet="3Arrows">
        <cfvo type="percent" val="0"/>
        <cfvo type="num" val="0"/>
        <cfvo type="num" val="0"/>
      </iconSet>
    </cfRule>
  </conditionalFormatting>
  <conditionalFormatting sqref="L12">
    <cfRule type="iconSet" priority="9">
      <iconSet iconSet="3Arrows">
        <cfvo type="percent" val="0"/>
        <cfvo type="num" val="0"/>
        <cfvo type="num" val="0"/>
      </iconSet>
    </cfRule>
  </conditionalFormatting>
  <conditionalFormatting sqref="I12">
    <cfRule type="iconSet" priority="10">
      <iconSet iconSet="3Arrows">
        <cfvo type="percent" val="0"/>
        <cfvo type="num" val="0"/>
        <cfvo type="num" val="0"/>
      </iconSet>
    </cfRule>
  </conditionalFormatting>
  <conditionalFormatting sqref="Q12">
    <cfRule type="iconSet" priority="11">
      <iconSet iconSet="3Arrows">
        <cfvo type="percent" val="0"/>
        <cfvo type="num" val="0"/>
        <cfvo type="num" val="0"/>
      </iconSet>
    </cfRule>
  </conditionalFormatting>
  <conditionalFormatting sqref="T5:T11">
    <cfRule type="iconSet" priority="12">
      <iconSet iconSet="3Arrows">
        <cfvo type="percent" val="0"/>
        <cfvo type="num" val="0"/>
        <cfvo type="num" val="0"/>
      </iconSet>
    </cfRule>
  </conditionalFormatting>
  <conditionalFormatting sqref="L5:L11">
    <cfRule type="iconSet" priority="13">
      <iconSet iconSet="3Arrows">
        <cfvo type="percent" val="0"/>
        <cfvo type="num" val="0"/>
        <cfvo type="num" val="0"/>
      </iconSet>
    </cfRule>
  </conditionalFormatting>
  <conditionalFormatting sqref="I5:I11">
    <cfRule type="iconSet" priority="14">
      <iconSet iconSet="3Arrows">
        <cfvo type="percent" val="0"/>
        <cfvo type="num" val="0"/>
        <cfvo type="num" val="0"/>
      </iconSet>
    </cfRule>
  </conditionalFormatting>
  <conditionalFormatting sqref="Q5:Q11">
    <cfRule type="iconSet" priority="15">
      <iconSet iconSet="3Arrows">
        <cfvo type="percent" val="0"/>
        <cfvo type="num" val="0"/>
        <cfvo type="num" val="0"/>
      </iconSet>
    </cfRule>
  </conditionalFormatting>
  <conditionalFormatting sqref="T30:T36">
    <cfRule type="iconSet" priority="16">
      <iconSet iconSet="3Arrows">
        <cfvo type="percent" val="0"/>
        <cfvo type="num" val="0"/>
        <cfvo type="num" val="0"/>
      </iconSet>
    </cfRule>
  </conditionalFormatting>
  <conditionalFormatting sqref="L30:L36">
    <cfRule type="iconSet" priority="17">
      <iconSet iconSet="3Arrows">
        <cfvo type="percent" val="0"/>
        <cfvo type="num" val="0"/>
        <cfvo type="num" val="0"/>
      </iconSet>
    </cfRule>
  </conditionalFormatting>
  <conditionalFormatting sqref="I30:I36">
    <cfRule type="iconSet" priority="18">
      <iconSet iconSet="3Arrows">
        <cfvo type="percent" val="0"/>
        <cfvo type="num" val="0"/>
        <cfvo type="num" val="0"/>
      </iconSet>
    </cfRule>
  </conditionalFormatting>
  <conditionalFormatting sqref="Q30:Q36">
    <cfRule type="iconSet" priority="19">
      <iconSet iconSet="3Arrows">
        <cfvo type="percent" val="0"/>
        <cfvo type="num" val="0"/>
        <cfvo type="num" val="0"/>
      </iconSet>
    </cfRule>
  </conditionalFormatting>
  <conditionalFormatting sqref="T37">
    <cfRule type="iconSet" priority="20">
      <iconSet iconSet="3Arrows">
        <cfvo type="percent" val="0"/>
        <cfvo type="num" val="0"/>
        <cfvo type="num" val="0"/>
      </iconSet>
    </cfRule>
  </conditionalFormatting>
  <conditionalFormatting sqref="L37">
    <cfRule type="iconSet" priority="21">
      <iconSet iconSet="3Arrows">
        <cfvo type="percent" val="0"/>
        <cfvo type="num" val="0"/>
        <cfvo type="num" val="0"/>
      </iconSet>
    </cfRule>
  </conditionalFormatting>
  <conditionalFormatting sqref="I37">
    <cfRule type="iconSet" priority="22">
      <iconSet iconSet="3Arrows">
        <cfvo type="percent" val="0"/>
        <cfvo type="num" val="0"/>
        <cfvo type="num" val="0"/>
      </iconSet>
    </cfRule>
  </conditionalFormatting>
  <conditionalFormatting sqref="Q37">
    <cfRule type="iconSet" priority="23">
      <iconSet iconSet="3Arrows">
        <cfvo type="percent" val="0"/>
        <cfvo type="num" val="0"/>
        <cfvo type="num" val="0"/>
      </iconSet>
    </cfRule>
  </conditionalFormatting>
  <conditionalFormatting sqref="T17:T23">
    <cfRule type="iconSet" priority="24">
      <iconSet iconSet="3Arrows">
        <cfvo type="percent" val="0"/>
        <cfvo type="num" val="0"/>
        <cfvo type="num" val="0"/>
      </iconSet>
    </cfRule>
  </conditionalFormatting>
  <conditionalFormatting sqref="L17:L23">
    <cfRule type="iconSet" priority="25">
      <iconSet iconSet="3Arrows">
        <cfvo type="percent" val="0"/>
        <cfvo type="num" val="0"/>
        <cfvo type="num" val="0"/>
      </iconSet>
    </cfRule>
  </conditionalFormatting>
  <conditionalFormatting sqref="I17:I23">
    <cfRule type="iconSet" priority="26">
      <iconSet iconSet="3Arrows">
        <cfvo type="percent" val="0"/>
        <cfvo type="num" val="0"/>
        <cfvo type="num" val="0"/>
      </iconSet>
    </cfRule>
  </conditionalFormatting>
  <conditionalFormatting sqref="Q17:Q23">
    <cfRule type="iconSet" priority="27">
      <iconSet iconSet="3Arrows">
        <cfvo type="percent" val="0"/>
        <cfvo type="num" val="0"/>
        <cfvo type="num" val="0"/>
      </iconSet>
    </cfRule>
  </conditionalFormatting>
  <conditionalFormatting sqref="T24">
    <cfRule type="iconSet" priority="28">
      <iconSet iconSet="3Arrows">
        <cfvo type="percent" val="0"/>
        <cfvo type="num" val="0"/>
        <cfvo type="num" val="0"/>
      </iconSet>
    </cfRule>
  </conditionalFormatting>
  <conditionalFormatting sqref="L24">
    <cfRule type="iconSet" priority="29">
      <iconSet iconSet="3Arrows">
        <cfvo type="percent" val="0"/>
        <cfvo type="num" val="0"/>
        <cfvo type="num" val="0"/>
      </iconSet>
    </cfRule>
  </conditionalFormatting>
  <conditionalFormatting sqref="I24">
    <cfRule type="iconSet" priority="30">
      <iconSet iconSet="3Arrows">
        <cfvo type="percent" val="0"/>
        <cfvo type="num" val="0"/>
        <cfvo type="num" val="0"/>
      </iconSet>
    </cfRule>
  </conditionalFormatting>
  <conditionalFormatting sqref="Q24">
    <cfRule type="iconSet" priority="31">
      <iconSet iconSet="3Arrows">
        <cfvo type="percent" val="0"/>
        <cfvo type="num" val="0"/>
        <cfvo type="num" val="0"/>
      </iconSet>
    </cfRule>
  </conditionalFormatting>
  <conditionalFormatting sqref="M88 M96">
    <cfRule type="iconSet" priority="32">
      <iconSet iconSet="3Arrows">
        <cfvo type="percent" val="0"/>
        <cfvo type="num" val="0"/>
        <cfvo type="num" val="0"/>
      </iconSet>
    </cfRule>
  </conditionalFormatting>
  <conditionalFormatting sqref="I88 I96">
    <cfRule type="iconSet" priority="33">
      <iconSet iconSet="3Arrows">
        <cfvo type="percent" val="0"/>
        <cfvo type="num" val="0"/>
        <cfvo type="num" val="0"/>
      </iconSet>
    </cfRule>
  </conditionalFormatting>
  <conditionalFormatting sqref="M84">
    <cfRule type="iconSet" priority="34">
      <iconSet iconSet="3Arrows">
        <cfvo type="percent" val="0"/>
        <cfvo type="num" val="0"/>
        <cfvo type="num" val="0"/>
      </iconSet>
    </cfRule>
  </conditionalFormatting>
  <conditionalFormatting sqref="I84">
    <cfRule type="iconSet" priority="35">
      <iconSet iconSet="3Arrows">
        <cfvo type="percent" val="0"/>
        <cfvo type="num" val="0"/>
        <cfvo type="num" val="0"/>
      </iconSet>
    </cfRule>
  </conditionalFormatting>
  <conditionalFormatting sqref="M82:M83 M85:M87">
    <cfRule type="iconSet" priority="36">
      <iconSet iconSet="3Arrows">
        <cfvo type="percent" val="0"/>
        <cfvo type="num" val="0"/>
        <cfvo type="num" val="0"/>
      </iconSet>
    </cfRule>
  </conditionalFormatting>
  <conditionalFormatting sqref="I82:I83 I85:I87">
    <cfRule type="iconSet" priority="37">
      <iconSet iconSet="3Arrows">
        <cfvo type="percent" val="0"/>
        <cfvo type="num" val="0"/>
        <cfvo type="num" val="0"/>
      </iconSet>
    </cfRule>
  </conditionalFormatting>
  <conditionalFormatting sqref="I44:I55 I73:I74">
    <cfRule type="iconSet" priority="38">
      <iconSet iconSet="3Arrows">
        <cfvo type="percent" val="0"/>
        <cfvo type="num" val="0"/>
        <cfvo type="num" val="0"/>
      </iconSet>
    </cfRule>
  </conditionalFormatting>
  <conditionalFormatting sqref="M44:M55 M73:M74">
    <cfRule type="iconSet" priority="39">
      <iconSet iconSet="3Arrows">
        <cfvo type="percent" val="0"/>
        <cfvo type="num" val="0"/>
        <cfvo type="num" val="0"/>
      </iconSet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  <pageSetUpPr fitToPage="1"/>
  </sheetPr>
  <dimension ref="A1:Q177"/>
  <sheetViews>
    <sheetView zoomScaleNormal="100" workbookViewId="0">
      <selection activeCell="G21" sqref="G21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4.17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143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1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144</v>
      </c>
      <c r="C7" s="11">
        <f>'ESSENTIA ABR'!O30</f>
        <v>158697.14139999999</v>
      </c>
      <c r="D7" s="11">
        <f>'ESSENTIA ABR'!N30</f>
        <v>132874.53</v>
      </c>
      <c r="E7" s="11">
        <f>D7-C7</f>
        <v>-25822.611399999994</v>
      </c>
      <c r="F7" s="12">
        <f>D7/C7-1</f>
        <v>-0.16271629830378276</v>
      </c>
      <c r="G7" s="13">
        <f>'ESSENTIA ABR'!G30</f>
        <v>4780259.9469725005</v>
      </c>
      <c r="H7" s="13">
        <f>'ESSENTIA ABR'!F30</f>
        <v>5313807.18</v>
      </c>
      <c r="I7" s="13">
        <f>H7-G7</f>
        <v>533547.23302749917</v>
      </c>
      <c r="J7" s="12">
        <f>H7/G7-1</f>
        <v>0.11161469019386949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12000</v>
      </c>
      <c r="C11" s="20" t="s">
        <v>22</v>
      </c>
      <c r="D11" s="21">
        <v>0.7</v>
      </c>
      <c r="E11" s="22">
        <f>B11*D11</f>
        <v>8400</v>
      </c>
      <c r="F11" s="23"/>
      <c r="G11" s="20" t="s">
        <v>22</v>
      </c>
      <c r="H11" s="24">
        <f>G7</f>
        <v>4780259.9469725005</v>
      </c>
      <c r="I11" s="24">
        <f>H7</f>
        <v>5313807.18</v>
      </c>
      <c r="J11" s="25">
        <f>IFERROR(I11/H11,0)</f>
        <v>1.1116146901938695</v>
      </c>
      <c r="K11" s="26">
        <f>IF(J11&lt;M11,0,J11*$E11)</f>
        <v>9337.5633976285044</v>
      </c>
      <c r="M11" s="27">
        <v>0.9</v>
      </c>
    </row>
    <row r="12" spans="1:15" ht="14.25" customHeight="1">
      <c r="A12" s="2"/>
      <c r="B12" s="307"/>
      <c r="C12" s="28" t="s">
        <v>23</v>
      </c>
      <c r="D12" s="21">
        <v>0.12</v>
      </c>
      <c r="E12" s="22">
        <f>B11*D12</f>
        <v>1440</v>
      </c>
      <c r="F12" s="23"/>
      <c r="G12" s="28" t="str">
        <f>C12</f>
        <v>Cierre de 3 pedidos  1000 Kgcon clientes actuales de FMC</v>
      </c>
      <c r="H12" s="12">
        <v>1</v>
      </c>
      <c r="I12" s="12"/>
      <c r="J12" s="12">
        <f>I12/H12</f>
        <v>0</v>
      </c>
      <c r="K12" s="26">
        <f>IF(J12&lt;M12,0,J12*$E12)</f>
        <v>0</v>
      </c>
      <c r="M12" s="27">
        <v>0.8</v>
      </c>
    </row>
    <row r="13" spans="1:15" ht="14.25" customHeight="1">
      <c r="A13" s="2"/>
      <c r="B13" s="307"/>
      <c r="C13" s="28" t="s">
        <v>24</v>
      </c>
      <c r="D13" s="21">
        <v>0.05</v>
      </c>
      <c r="E13" s="22">
        <f>B$11*D$13</f>
        <v>600</v>
      </c>
      <c r="F13" s="23"/>
      <c r="G13" s="28" t="str">
        <f>C13</f>
        <v>Contar con calendario de pruebas inicios de año 2020</v>
      </c>
      <c r="H13" s="12">
        <v>1</v>
      </c>
      <c r="I13" s="12"/>
      <c r="J13" s="12">
        <f>I13/H13</f>
        <v>0</v>
      </c>
      <c r="K13" s="26">
        <f>IF(J13&lt;M13,0,J13*$E13)</f>
        <v>0</v>
      </c>
      <c r="M13" s="27">
        <v>1</v>
      </c>
    </row>
    <row r="14" spans="1:15" ht="14.25" customHeight="1">
      <c r="A14" s="2"/>
      <c r="B14" s="307"/>
      <c r="C14" s="28" t="s">
        <v>25</v>
      </c>
      <c r="D14" s="21">
        <v>0.05</v>
      </c>
      <c r="E14" s="22">
        <f>B$11*D$13</f>
        <v>600</v>
      </c>
      <c r="F14" s="23"/>
      <c r="G14" s="28" t="str">
        <f>C14</f>
        <v>Presentar estrategica por region Occidente 2020</v>
      </c>
      <c r="H14" s="12">
        <v>1</v>
      </c>
      <c r="I14" s="12"/>
      <c r="J14" s="12">
        <f>I14/H14</f>
        <v>0</v>
      </c>
      <c r="K14" s="26">
        <f>IF(J14&lt;M14,0,J14*$E14)</f>
        <v>0</v>
      </c>
      <c r="M14" s="27">
        <v>0.75</v>
      </c>
    </row>
    <row r="15" spans="1:15" ht="14.25" customHeight="1">
      <c r="A15" s="2"/>
      <c r="B15" s="307"/>
      <c r="C15" s="28" t="s">
        <v>26</v>
      </c>
      <c r="D15" s="21">
        <v>0.08</v>
      </c>
      <c r="E15" s="22">
        <f>B11*D15</f>
        <v>960</v>
      </c>
      <c r="F15" s="23"/>
      <c r="G15" s="28" t="str">
        <f>C15</f>
        <v xml:space="preserve">Presentar presupuesto lunes 6 de Diciembre </v>
      </c>
      <c r="H15" s="12">
        <v>1</v>
      </c>
      <c r="I15" s="12"/>
      <c r="J15" s="12">
        <f>I15/H15</f>
        <v>0</v>
      </c>
      <c r="K15" s="26">
        <f>IF(J15&lt;M15,0,J15*$E15)</f>
        <v>0</v>
      </c>
      <c r="M15" s="27">
        <v>0.75</v>
      </c>
    </row>
    <row r="16" spans="1:15" ht="14.25" customHeight="1">
      <c r="A16" s="2"/>
      <c r="B16" s="29"/>
      <c r="C16" s="30" t="s">
        <v>27</v>
      </c>
      <c r="D16" s="31">
        <f>SUM(D11:D15)</f>
        <v>1</v>
      </c>
      <c r="E16" s="32">
        <f>SUM(E11:E15)</f>
        <v>12000</v>
      </c>
      <c r="F16" s="23"/>
      <c r="G16" s="33"/>
      <c r="J16" s="34" t="s">
        <v>28</v>
      </c>
      <c r="K16" s="35">
        <f>SUM(K12:K15)</f>
        <v>0</v>
      </c>
      <c r="M16" s="36"/>
      <c r="N16" s="37"/>
    </row>
    <row r="17" spans="1:15" ht="15" customHeight="1">
      <c r="A17" s="2"/>
      <c r="F17" s="23"/>
      <c r="M17" s="36"/>
      <c r="N17" s="37"/>
    </row>
    <row r="18" spans="1:15" ht="15" customHeight="1">
      <c r="A18" s="2"/>
      <c r="F18" s="23"/>
      <c r="J18" s="38" t="s">
        <v>29</v>
      </c>
      <c r="K18" s="39">
        <f>+K16+K11</f>
        <v>9337.5633976285044</v>
      </c>
    </row>
    <row r="19" spans="1:15" ht="14.25" customHeight="1">
      <c r="A19" s="2"/>
      <c r="F19" s="33"/>
    </row>
    <row r="20" spans="1:15" ht="14.25" customHeight="1">
      <c r="A20" s="2"/>
      <c r="F20" s="33"/>
      <c r="G20" s="40"/>
    </row>
    <row r="21" spans="1:15" ht="14.25" customHeight="1">
      <c r="A21" s="2"/>
      <c r="F21" s="33"/>
      <c r="G21" s="40"/>
    </row>
    <row r="23" spans="1:15" ht="15" customHeight="1"/>
    <row r="24" spans="1:15" ht="21" customHeight="1">
      <c r="C24" s="308" t="s">
        <v>30</v>
      </c>
      <c r="D24" s="308"/>
      <c r="E24" s="308"/>
      <c r="F24" s="308"/>
      <c r="G24" s="308"/>
      <c r="H24" s="308"/>
      <c r="I24" s="308"/>
      <c r="J24" s="308"/>
    </row>
    <row r="25" spans="1:15" ht="14.25" customHeight="1">
      <c r="A25" s="2"/>
      <c r="O25" s="3"/>
    </row>
    <row r="26" spans="1:15" ht="14.25" customHeight="1">
      <c r="A26" s="2"/>
      <c r="C26" s="303" t="s">
        <v>2</v>
      </c>
      <c r="D26" s="303"/>
      <c r="E26" s="4" t="s">
        <v>3</v>
      </c>
      <c r="F26" s="4"/>
      <c r="G26" s="303" t="s">
        <v>4</v>
      </c>
      <c r="H26" s="303"/>
      <c r="I26" s="304" t="s">
        <v>3</v>
      </c>
      <c r="J26" s="304"/>
    </row>
    <row r="27" spans="1:15" ht="14.25" customHeight="1">
      <c r="A27" s="2"/>
      <c r="B27" s="5" t="s">
        <v>5</v>
      </c>
      <c r="C27" s="6" t="s">
        <v>6</v>
      </c>
      <c r="D27" s="7" t="s">
        <v>7</v>
      </c>
      <c r="E27" s="8" t="s">
        <v>8</v>
      </c>
      <c r="F27" s="8" t="s">
        <v>9</v>
      </c>
      <c r="G27" s="6" t="s">
        <v>6</v>
      </c>
      <c r="H27" s="7" t="s">
        <v>7</v>
      </c>
      <c r="I27" s="8" t="s">
        <v>10</v>
      </c>
      <c r="J27" s="9" t="s">
        <v>9</v>
      </c>
    </row>
    <row r="28" spans="1:15" ht="14.25" customHeight="1">
      <c r="A28" s="2"/>
      <c r="B28" s="10" t="str">
        <f>$B$7</f>
        <v>ABRIL</v>
      </c>
      <c r="C28" s="11">
        <f>'ESSENTIA ABR'!O31</f>
        <v>31844</v>
      </c>
      <c r="D28" s="11">
        <f>'ESSENTIA ABR'!N31</f>
        <v>16035.98</v>
      </c>
      <c r="E28" s="11">
        <f>D28-C28</f>
        <v>-15808.02</v>
      </c>
      <c r="F28" s="12">
        <f>D28/C28-1</f>
        <v>-0.49642067579449822</v>
      </c>
      <c r="G28" s="13">
        <f>'ESSENTIA ABR'!G31</f>
        <v>2220021.14518</v>
      </c>
      <c r="H28" s="13">
        <f>'ESSENTIA ABR'!F31</f>
        <v>1066299.3600000001</v>
      </c>
      <c r="I28" s="13">
        <f>H28-G28</f>
        <v>-1153721.7851799999</v>
      </c>
      <c r="J28" s="12">
        <f>H28/G28-1</f>
        <v>-0.51968954786079569</v>
      </c>
    </row>
    <row r="29" spans="1:15" ht="14.25" customHeight="1">
      <c r="A29" s="2"/>
    </row>
    <row r="30" spans="1:15" ht="15" customHeight="1">
      <c r="A30" s="2"/>
      <c r="B30" s="305" t="s">
        <v>12</v>
      </c>
      <c r="C30" s="305"/>
      <c r="D30" s="305"/>
      <c r="E30" s="305"/>
      <c r="G30" s="15" t="s">
        <v>31</v>
      </c>
      <c r="H30" s="15"/>
      <c r="I30" s="15"/>
      <c r="J30" s="15"/>
      <c r="K30" s="15"/>
    </row>
    <row r="31" spans="1:15" ht="29.25" customHeight="1">
      <c r="A31" s="2"/>
      <c r="B31" s="9" t="s">
        <v>14</v>
      </c>
      <c r="C31" s="9" t="s">
        <v>15</v>
      </c>
      <c r="D31" s="16" t="s">
        <v>16</v>
      </c>
      <c r="E31" s="9" t="s">
        <v>17</v>
      </c>
      <c r="F31" s="19" t="s">
        <v>21</v>
      </c>
      <c r="G31" s="9" t="s">
        <v>15</v>
      </c>
      <c r="H31" s="18" t="s">
        <v>18</v>
      </c>
      <c r="I31" s="9" t="s">
        <v>19</v>
      </c>
      <c r="J31" s="9" t="s">
        <v>20</v>
      </c>
      <c r="K31" s="9" t="s">
        <v>14</v>
      </c>
      <c r="M31" s="9" t="s">
        <v>21</v>
      </c>
    </row>
    <row r="32" spans="1:15" ht="14.25" customHeight="1">
      <c r="A32" s="2"/>
      <c r="B32" s="41">
        <v>1000</v>
      </c>
      <c r="C32" s="42" t="s">
        <v>22</v>
      </c>
      <c r="D32" s="43">
        <f>E32/$B$37</f>
        <v>0.15384615384615385</v>
      </c>
      <c r="E32" s="44">
        <v>1000</v>
      </c>
      <c r="F32" s="45">
        <v>0.5</v>
      </c>
      <c r="G32" s="28" t="str">
        <f>C32</f>
        <v>Cumplimiento Presupuesto</v>
      </c>
      <c r="H32" s="41">
        <f>G28</f>
        <v>2220021.14518</v>
      </c>
      <c r="I32" s="41">
        <f>H28</f>
        <v>1066299.3600000001</v>
      </c>
      <c r="J32" s="45">
        <f>IFERROR(I32/H32,0)</f>
        <v>0.48031045213920437</v>
      </c>
      <c r="K32" s="26">
        <f>IF(J32&lt;M32,0,J32*$E32)</f>
        <v>0</v>
      </c>
      <c r="M32" s="45">
        <v>0.5</v>
      </c>
    </row>
    <row r="33" spans="1:13" ht="14.25" customHeight="1">
      <c r="A33" s="2"/>
      <c r="B33" s="41">
        <v>1000</v>
      </c>
      <c r="C33" s="42" t="s">
        <v>32</v>
      </c>
      <c r="D33" s="43">
        <f>E33/$B$37</f>
        <v>0.15384615384615385</v>
      </c>
      <c r="E33" s="44">
        <v>1000</v>
      </c>
      <c r="F33" s="45">
        <v>1</v>
      </c>
      <c r="G33" s="28" t="str">
        <f>C33</f>
        <v xml:space="preserve">Pruebas atorizadas por realizar con cliente </v>
      </c>
      <c r="H33" s="12">
        <v>1</v>
      </c>
      <c r="I33" s="41"/>
      <c r="J33" s="45">
        <f>IFERROR(I33/H33,0)</f>
        <v>0</v>
      </c>
      <c r="K33" s="26">
        <f>IF(J33&lt;M33,0,J33*$E33)</f>
        <v>0</v>
      </c>
      <c r="M33" s="45">
        <v>1</v>
      </c>
    </row>
    <row r="34" spans="1:13" ht="14.25" customHeight="1">
      <c r="A34" s="2"/>
      <c r="B34" s="41">
        <v>1500</v>
      </c>
      <c r="C34" s="20" t="s">
        <v>33</v>
      </c>
      <c r="D34" s="43">
        <f>E34/$B$37</f>
        <v>0.23076923076923078</v>
      </c>
      <c r="E34" s="44">
        <v>1500</v>
      </c>
      <c r="F34" s="45">
        <v>1</v>
      </c>
      <c r="G34" s="28" t="str">
        <f>C34</f>
        <v xml:space="preserve">Armado e implementación estrategia Baja California </v>
      </c>
      <c r="H34" s="12">
        <v>1</v>
      </c>
      <c r="I34" s="12"/>
      <c r="J34" s="45">
        <f>IFERROR(I34/H34,0)</f>
        <v>0</v>
      </c>
      <c r="K34" s="26">
        <f>IF(J34&lt;M34,0,J34*$E34)</f>
        <v>0</v>
      </c>
      <c r="M34" s="45">
        <v>1</v>
      </c>
    </row>
    <row r="35" spans="1:13" ht="14.25" customHeight="1">
      <c r="A35" s="2"/>
      <c r="B35" s="41">
        <v>1500</v>
      </c>
      <c r="C35" s="28" t="s">
        <v>34</v>
      </c>
      <c r="D35" s="43">
        <f>E35/$B$37</f>
        <v>0.23076923076923078</v>
      </c>
      <c r="E35" s="44">
        <v>1500</v>
      </c>
      <c r="F35" s="45">
        <v>0.75</v>
      </c>
      <c r="G35" s="28" t="str">
        <f>C35</f>
        <v>Presentar estrategica por región 2020</v>
      </c>
      <c r="H35" s="12">
        <v>1</v>
      </c>
      <c r="I35" s="12"/>
      <c r="J35" s="45">
        <f>IFERROR(I35/H35,0)</f>
        <v>0</v>
      </c>
      <c r="K35" s="26">
        <f>IF(J35&lt;M35,0,J35*$E35)</f>
        <v>0</v>
      </c>
      <c r="M35" s="45">
        <v>0.75</v>
      </c>
    </row>
    <row r="36" spans="1:13" ht="14.25" customHeight="1">
      <c r="A36" s="2"/>
      <c r="B36" s="41">
        <v>1500</v>
      </c>
      <c r="C36" s="28" t="s">
        <v>26</v>
      </c>
      <c r="D36" s="43">
        <f>E36/$B$37</f>
        <v>0.23076923076923078</v>
      </c>
      <c r="E36" s="44">
        <v>1500</v>
      </c>
      <c r="F36" s="45">
        <v>0.75</v>
      </c>
      <c r="G36" s="28" t="str">
        <f>C36</f>
        <v xml:space="preserve">Presentar presupuesto lunes 6 de Diciembre </v>
      </c>
      <c r="H36" s="12">
        <v>1</v>
      </c>
      <c r="I36" s="12"/>
      <c r="J36" s="45">
        <f>IFERROR(I36/H36,0)</f>
        <v>0</v>
      </c>
      <c r="K36" s="26">
        <f>IF(J36&lt;M36,0,J36*$E36)</f>
        <v>0</v>
      </c>
      <c r="M36" s="45">
        <v>0.75</v>
      </c>
    </row>
    <row r="37" spans="1:13" ht="14.25" customHeight="1">
      <c r="A37" s="2"/>
      <c r="B37" s="46">
        <f>SUM(B32:B36)</f>
        <v>6500</v>
      </c>
      <c r="C37" s="30" t="s">
        <v>27</v>
      </c>
      <c r="D37" s="47"/>
      <c r="E37" s="48">
        <f>SUM(E31:E36)</f>
        <v>6500</v>
      </c>
      <c r="F37" s="23"/>
      <c r="G37" s="33"/>
      <c r="I37" s="49"/>
      <c r="J37" s="34" t="s">
        <v>28</v>
      </c>
      <c r="K37" s="35">
        <f>SUM(K34:K34)</f>
        <v>0</v>
      </c>
    </row>
    <row r="38" spans="1:13" ht="15" customHeight="1">
      <c r="A38" s="2"/>
      <c r="C38" s="50"/>
      <c r="D38" s="51"/>
      <c r="E38" s="52"/>
      <c r="F38" s="23"/>
    </row>
    <row r="39" spans="1:13" ht="14.25" customHeight="1">
      <c r="A39" s="2"/>
      <c r="F39" s="23"/>
      <c r="J39" s="62" t="s">
        <v>29</v>
      </c>
      <c r="K39" s="63">
        <f>+K37+K32</f>
        <v>0</v>
      </c>
    </row>
    <row r="40" spans="1:13" ht="14.25" customHeight="1">
      <c r="A40" s="2"/>
      <c r="F40" s="33"/>
      <c r="J40" s="55"/>
      <c r="K40" s="22"/>
    </row>
    <row r="41" spans="1:13" ht="14.25" customHeight="1">
      <c r="F41" s="33"/>
    </row>
    <row r="42" spans="1:13" ht="15" customHeight="1"/>
    <row r="43" spans="1:13" ht="21" customHeight="1">
      <c r="C43" s="308" t="s">
        <v>37</v>
      </c>
      <c r="D43" s="308"/>
      <c r="E43" s="308"/>
      <c r="F43" s="308"/>
      <c r="G43" s="308"/>
      <c r="H43" s="308"/>
      <c r="I43" s="308"/>
      <c r="J43" s="308"/>
    </row>
    <row r="45" spans="1:13" ht="14.25" customHeight="1">
      <c r="C45" s="303" t="s">
        <v>2</v>
      </c>
      <c r="D45" s="303"/>
      <c r="E45" s="4" t="s">
        <v>3</v>
      </c>
      <c r="F45" s="4"/>
      <c r="G45" s="303" t="s">
        <v>4</v>
      </c>
      <c r="H45" s="303"/>
      <c r="I45" s="304" t="s">
        <v>3</v>
      </c>
      <c r="J45" s="304"/>
    </row>
    <row r="46" spans="1:13" ht="14.25" customHeight="1">
      <c r="B46" s="5" t="s">
        <v>5</v>
      </c>
      <c r="C46" s="6" t="s">
        <v>6</v>
      </c>
      <c r="D46" s="7" t="s">
        <v>7</v>
      </c>
      <c r="E46" s="8" t="s">
        <v>8</v>
      </c>
      <c r="F46" s="8" t="s">
        <v>9</v>
      </c>
      <c r="G46" s="6" t="s">
        <v>6</v>
      </c>
      <c r="H46" s="7" t="s">
        <v>7</v>
      </c>
      <c r="I46" s="8" t="s">
        <v>10</v>
      </c>
      <c r="J46" s="9" t="s">
        <v>9</v>
      </c>
    </row>
    <row r="47" spans="1:13" ht="14.25" customHeight="1">
      <c r="B47" s="10" t="str">
        <f>$B$7</f>
        <v>ABRIL</v>
      </c>
      <c r="C47" s="11">
        <f>'ESSENTIA ABR'!O36</f>
        <v>28358.021199999999</v>
      </c>
      <c r="D47" s="11">
        <f>'ESSENTIA ABR'!N36</f>
        <v>17999.54</v>
      </c>
      <c r="E47" s="11">
        <f>D47-C47</f>
        <v>-10358.481199999998</v>
      </c>
      <c r="F47" s="12">
        <f>D47/C47-1</f>
        <v>-0.3652751765345319</v>
      </c>
      <c r="G47" s="13">
        <f>'ESSENTIA ABR'!G36</f>
        <v>1902243.0067921302</v>
      </c>
      <c r="H47" s="13">
        <f>'ESSENTIA ABR'!F36</f>
        <v>1128176.32</v>
      </c>
      <c r="I47" s="13">
        <f>H47-G47</f>
        <v>-774066.68679213012</v>
      </c>
      <c r="J47" s="12">
        <f>H47/G47-1</f>
        <v>-0.40692313444089701</v>
      </c>
    </row>
    <row r="49" spans="2:13" ht="14.25" customHeight="1">
      <c r="B49" s="305" t="s">
        <v>12</v>
      </c>
      <c r="C49" s="305"/>
      <c r="D49" s="305"/>
      <c r="E49" s="305"/>
      <c r="G49" s="306" t="s">
        <v>13</v>
      </c>
      <c r="H49" s="306"/>
      <c r="I49" s="306"/>
      <c r="J49" s="306"/>
      <c r="K49" s="306"/>
    </row>
    <row r="50" spans="2:13" ht="14.25" customHeight="1">
      <c r="B50" s="9" t="s">
        <v>14</v>
      </c>
      <c r="C50" s="9" t="s">
        <v>15</v>
      </c>
      <c r="D50" s="16" t="s">
        <v>16</v>
      </c>
      <c r="E50" s="9" t="s">
        <v>17</v>
      </c>
      <c r="F50" s="14"/>
      <c r="G50" s="9" t="s">
        <v>15</v>
      </c>
      <c r="H50" s="18" t="s">
        <v>18</v>
      </c>
      <c r="I50" s="9" t="s">
        <v>19</v>
      </c>
      <c r="J50" s="9" t="s">
        <v>20</v>
      </c>
      <c r="K50" s="9" t="s">
        <v>14</v>
      </c>
    </row>
    <row r="51" spans="2:13" ht="14.25" customHeight="1">
      <c r="B51" s="309">
        <v>7000</v>
      </c>
      <c r="C51" s="20" t="s">
        <v>22</v>
      </c>
      <c r="D51" s="58">
        <v>0.5</v>
      </c>
      <c r="E51" s="26">
        <f>B51*D51</f>
        <v>3500</v>
      </c>
      <c r="F51" s="17"/>
      <c r="G51" s="28" t="str">
        <f>C51</f>
        <v>Cumplimiento Presupuesto</v>
      </c>
      <c r="H51" s="41">
        <f>G47</f>
        <v>1902243.0067921302</v>
      </c>
      <c r="I51" s="41">
        <f>H47</f>
        <v>1128176.32</v>
      </c>
      <c r="J51" s="45">
        <f>IFERROR(I51/H51,0)</f>
        <v>0.59307686555910299</v>
      </c>
      <c r="K51" s="26">
        <f>IF(J51&lt;M52,0,J51*$E51)</f>
        <v>0</v>
      </c>
      <c r="M51" s="9" t="s">
        <v>21</v>
      </c>
    </row>
    <row r="52" spans="2:13" ht="21" customHeight="1">
      <c r="B52" s="309"/>
      <c r="C52" s="20" t="s">
        <v>38</v>
      </c>
      <c r="D52" s="58">
        <v>0.2</v>
      </c>
      <c r="E52" s="26">
        <f>B51*D52</f>
        <v>1400</v>
      </c>
      <c r="F52" s="23"/>
      <c r="G52" s="28" t="str">
        <f>C52</f>
        <v xml:space="preserve">Aplicación de pruebas unidades de chorizo </v>
      </c>
      <c r="H52" s="45">
        <v>1</v>
      </c>
      <c r="I52" s="45"/>
      <c r="J52" s="25">
        <f>IFERROR(I52/H52,0)</f>
        <v>0</v>
      </c>
      <c r="K52" s="26">
        <f>IF(J52&lt;M53,0,J52*$E52)</f>
        <v>0</v>
      </c>
      <c r="M52" s="45">
        <v>0.95</v>
      </c>
    </row>
    <row r="53" spans="2:13" ht="14.25" customHeight="1">
      <c r="B53" s="309"/>
      <c r="C53" s="28" t="s">
        <v>39</v>
      </c>
      <c r="D53" s="58">
        <v>0.2</v>
      </c>
      <c r="E53" s="26">
        <f>B51*D53</f>
        <v>1400</v>
      </c>
      <c r="F53" s="23"/>
      <c r="G53" s="28" t="str">
        <f>C53</f>
        <v xml:space="preserve">Prospectación </v>
      </c>
      <c r="H53" s="45">
        <v>1</v>
      </c>
      <c r="I53" s="45"/>
      <c r="J53" s="25">
        <f>IFERROR(I53/H53,0)</f>
        <v>0</v>
      </c>
      <c r="K53" s="26">
        <f>IF(J53&lt;M54,0,J53*$E53)</f>
        <v>0</v>
      </c>
      <c r="M53" s="45">
        <v>0.75</v>
      </c>
    </row>
    <row r="54" spans="2:13" ht="14.25" customHeight="1">
      <c r="B54" s="309"/>
      <c r="C54" s="28" t="s">
        <v>40</v>
      </c>
      <c r="D54" s="21">
        <v>0.1</v>
      </c>
      <c r="E54" s="22">
        <f>+D54*B51</f>
        <v>700</v>
      </c>
      <c r="F54" s="23"/>
      <c r="G54" s="28" t="str">
        <f>C54</f>
        <v xml:space="preserve">Cierre de venta con productos nuevos AGR </v>
      </c>
      <c r="H54" s="45">
        <v>1</v>
      </c>
      <c r="I54" s="45"/>
      <c r="J54" s="25">
        <f>IFERROR(I54/H54,0)</f>
        <v>0</v>
      </c>
      <c r="K54" s="26">
        <f>IF(J54&lt;M55,0,J54*$E54)</f>
        <v>0</v>
      </c>
      <c r="M54" s="45">
        <v>0.75</v>
      </c>
    </row>
    <row r="55" spans="2:13" ht="14.25" customHeight="1">
      <c r="C55" s="30" t="s">
        <v>27</v>
      </c>
      <c r="D55" s="47">
        <f>SUM(D51:D54)</f>
        <v>0.99999999999999989</v>
      </c>
      <c r="E55" s="32">
        <f>SUM(E51:E54)</f>
        <v>7000</v>
      </c>
      <c r="F55" s="23"/>
      <c r="G55" s="33"/>
      <c r="I55" s="49"/>
      <c r="J55" s="34" t="s">
        <v>28</v>
      </c>
      <c r="K55" s="35">
        <f>SUM(K52:K54)</f>
        <v>0</v>
      </c>
      <c r="M55" s="45">
        <v>0.75</v>
      </c>
    </row>
    <row r="56" spans="2:13" ht="15" customHeight="1">
      <c r="F56" s="23"/>
    </row>
    <row r="57" spans="2:13" ht="15" customHeight="1">
      <c r="F57" s="23"/>
      <c r="J57" s="38" t="s">
        <v>29</v>
      </c>
      <c r="K57" s="39">
        <f>+K55+K51</f>
        <v>0</v>
      </c>
    </row>
    <row r="58" spans="2:13" ht="14.25" customHeight="1">
      <c r="F58" s="23"/>
      <c r="G58" s="40"/>
    </row>
    <row r="59" spans="2:13" ht="14.25" customHeight="1">
      <c r="F59" s="23"/>
    </row>
    <row r="60" spans="2:13" ht="15" customHeight="1"/>
    <row r="61" spans="2:13" ht="21" customHeight="1">
      <c r="C61" s="308" t="s">
        <v>41</v>
      </c>
      <c r="D61" s="308"/>
      <c r="E61" s="308"/>
      <c r="F61" s="308"/>
      <c r="G61" s="308"/>
      <c r="H61" s="308"/>
      <c r="I61" s="308"/>
      <c r="J61" s="308"/>
    </row>
    <row r="63" spans="2:13" ht="14.25" customHeight="1">
      <c r="C63" s="303" t="s">
        <v>2</v>
      </c>
      <c r="D63" s="303"/>
      <c r="E63" s="4" t="s">
        <v>3</v>
      </c>
      <c r="F63" s="4"/>
      <c r="G63" s="303" t="s">
        <v>4</v>
      </c>
      <c r="H63" s="303"/>
      <c r="I63" s="304" t="s">
        <v>3</v>
      </c>
      <c r="J63" s="304"/>
    </row>
    <row r="64" spans="2:13" ht="14.25" customHeight="1">
      <c r="B64" s="5" t="s">
        <v>5</v>
      </c>
      <c r="C64" s="6" t="s">
        <v>6</v>
      </c>
      <c r="D64" s="7" t="s">
        <v>7</v>
      </c>
      <c r="E64" s="8" t="s">
        <v>8</v>
      </c>
      <c r="F64" s="8" t="s">
        <v>9</v>
      </c>
      <c r="G64" s="6" t="s">
        <v>6</v>
      </c>
      <c r="H64" s="7" t="s">
        <v>7</v>
      </c>
      <c r="I64" s="8" t="s">
        <v>10</v>
      </c>
      <c r="J64" s="9" t="s">
        <v>9</v>
      </c>
    </row>
    <row r="65" spans="2:14" ht="14.25" customHeight="1">
      <c r="B65" s="10" t="str">
        <f>$B$7</f>
        <v>ABRIL</v>
      </c>
      <c r="C65" s="11">
        <f>'ESSENTIA ABR'!O35</f>
        <v>132129.24</v>
      </c>
      <c r="D65" s="11">
        <f>'ESSENTIA ABR'!N35</f>
        <v>95115.82190000001</v>
      </c>
      <c r="E65" s="11">
        <f>D65-C65</f>
        <v>-37013.418099999981</v>
      </c>
      <c r="F65" s="12">
        <f>D65/C65-1</f>
        <v>-0.2801304094385163</v>
      </c>
      <c r="G65" s="13">
        <f>'ESSENTIA ABR'!G35</f>
        <v>3340063.6231279997</v>
      </c>
      <c r="H65" s="13">
        <f>'ESSENTIA ABR'!F35</f>
        <v>3267713.01</v>
      </c>
      <c r="I65" s="13">
        <f>H65-G65</f>
        <v>-72350.613127999939</v>
      </c>
      <c r="J65" s="12">
        <f>H65/G65-1</f>
        <v>-2.1661447592499106E-2</v>
      </c>
    </row>
    <row r="67" spans="2:14" ht="15" customHeight="1">
      <c r="B67" s="305" t="s">
        <v>12</v>
      </c>
      <c r="C67" s="305"/>
      <c r="D67" s="305"/>
      <c r="E67" s="305"/>
      <c r="F67" s="14"/>
      <c r="G67" s="306" t="s">
        <v>13</v>
      </c>
      <c r="H67" s="306"/>
      <c r="I67" s="306"/>
      <c r="J67" s="306"/>
      <c r="K67" s="306"/>
    </row>
    <row r="68" spans="2:14" ht="14.25" customHeight="1">
      <c r="B68" s="9" t="s">
        <v>14</v>
      </c>
      <c r="C68" s="9" t="s">
        <v>15</v>
      </c>
      <c r="D68" s="16" t="s">
        <v>16</v>
      </c>
      <c r="E68" s="9" t="s">
        <v>17</v>
      </c>
      <c r="F68" s="17"/>
      <c r="G68" s="9" t="s">
        <v>15</v>
      </c>
      <c r="H68" s="18" t="s">
        <v>18</v>
      </c>
      <c r="I68" s="9" t="s">
        <v>19</v>
      </c>
      <c r="J68" s="9" t="s">
        <v>20</v>
      </c>
      <c r="K68" s="9" t="s">
        <v>14</v>
      </c>
      <c r="M68" s="9" t="s">
        <v>21</v>
      </c>
    </row>
    <row r="69" spans="2:14" ht="14.25" customHeight="1">
      <c r="B69" s="307">
        <v>10000</v>
      </c>
      <c r="C69" s="20" t="s">
        <v>22</v>
      </c>
      <c r="D69" s="21">
        <v>0.6</v>
      </c>
      <c r="E69" s="22">
        <f>+D69*B69</f>
        <v>6000</v>
      </c>
      <c r="F69" s="23"/>
      <c r="G69" s="28" t="str">
        <f>C69</f>
        <v>Cumplimiento Presupuesto</v>
      </c>
      <c r="H69" s="24">
        <f>G65</f>
        <v>3340063.6231279997</v>
      </c>
      <c r="I69" s="41">
        <f>H65</f>
        <v>3267713.01</v>
      </c>
      <c r="J69" s="25">
        <f>IFERROR(I69/H69,0)</f>
        <v>0.97833855240750089</v>
      </c>
      <c r="K69" s="26">
        <f>IF(J69&lt;M69,0,J69*$E69)</f>
        <v>5870.0313144450056</v>
      </c>
      <c r="M69" s="45">
        <v>0.8</v>
      </c>
    </row>
    <row r="70" spans="2:14" ht="14.25" customHeight="1">
      <c r="B70" s="307"/>
      <c r="C70" s="28" t="s">
        <v>42</v>
      </c>
      <c r="D70" s="21">
        <v>0.1</v>
      </c>
      <c r="E70" s="22">
        <f>B69*D70</f>
        <v>1000</v>
      </c>
      <c r="F70" s="23"/>
      <c r="G70" s="28" t="str">
        <f>C70</f>
        <v>Cierre de 3 pedidos  300 Kgcon clientes actuales de FMC</v>
      </c>
      <c r="H70" s="45">
        <v>1</v>
      </c>
      <c r="I70" s="59"/>
      <c r="J70" s="45">
        <f>I70/H70</f>
        <v>0</v>
      </c>
      <c r="K70" s="26">
        <f>IF(J70&lt;M70,0,J70*$E70)</f>
        <v>0</v>
      </c>
      <c r="M70" s="27">
        <v>0.8</v>
      </c>
      <c r="N70" s="34"/>
    </row>
    <row r="71" spans="2:14" ht="30" customHeight="1">
      <c r="B71" s="307"/>
      <c r="C71" s="28" t="s">
        <v>24</v>
      </c>
      <c r="D71" s="21">
        <v>0.12</v>
      </c>
      <c r="E71" s="22">
        <f>+D71*B69</f>
        <v>1200</v>
      </c>
      <c r="F71" s="23"/>
      <c r="G71" s="28" t="str">
        <f>C71</f>
        <v>Contar con calendario de pruebas inicios de año 2020</v>
      </c>
      <c r="H71" s="45">
        <v>1</v>
      </c>
      <c r="I71" s="45"/>
      <c r="J71" s="25">
        <f>IFERROR(I71/H71,0)</f>
        <v>0</v>
      </c>
      <c r="K71" s="26">
        <f>IF(J71&lt;M71,0,J71*$E71)</f>
        <v>0</v>
      </c>
      <c r="M71" s="45">
        <v>1</v>
      </c>
    </row>
    <row r="72" spans="2:14" ht="30" customHeight="1">
      <c r="B72" s="307"/>
      <c r="C72" s="28" t="s">
        <v>43</v>
      </c>
      <c r="D72" s="21">
        <v>7.0000000000000007E-2</v>
      </c>
      <c r="E72" s="22">
        <f>+D72*B69</f>
        <v>700.00000000000011</v>
      </c>
      <c r="F72" s="23"/>
      <c r="G72" s="28" t="str">
        <f>C72</f>
        <v>Presentar estrategica por region  2020</v>
      </c>
      <c r="H72" s="45">
        <v>1</v>
      </c>
      <c r="I72" s="45"/>
      <c r="J72" s="25">
        <f>IFERROR(I72/H72,0)</f>
        <v>0</v>
      </c>
      <c r="K72" s="26">
        <f>IF(J72&lt;M72,0,J72*$E72)</f>
        <v>0</v>
      </c>
      <c r="M72" s="45">
        <v>1</v>
      </c>
    </row>
    <row r="73" spans="2:14" ht="14.25" customHeight="1">
      <c r="B73" s="307"/>
      <c r="C73" s="28" t="s">
        <v>26</v>
      </c>
      <c r="D73" s="58">
        <v>0.11</v>
      </c>
      <c r="E73" s="22">
        <f>+D73*B69</f>
        <v>1100</v>
      </c>
      <c r="F73" s="60"/>
      <c r="G73" s="28" t="str">
        <f>C73</f>
        <v xml:space="preserve">Presentar presupuesto lunes 6 de Diciembre </v>
      </c>
      <c r="H73" s="45">
        <v>1</v>
      </c>
      <c r="I73" s="45"/>
      <c r="J73" s="25">
        <f>IFERROR(I73/H73,0)</f>
        <v>0</v>
      </c>
      <c r="K73" s="26">
        <f>IF(J73&lt;M73,0,J73*$E73)</f>
        <v>0</v>
      </c>
      <c r="M73" s="45">
        <v>1</v>
      </c>
    </row>
    <row r="74" spans="2:14" ht="14.25" customHeight="1">
      <c r="B74" s="29"/>
      <c r="C74" s="30" t="s">
        <v>27</v>
      </c>
      <c r="D74" s="31">
        <f>SUM(D69:D73)</f>
        <v>0.99999999999999989</v>
      </c>
      <c r="E74" s="32">
        <f>SUM(E69:E73)</f>
        <v>10000</v>
      </c>
      <c r="F74" s="23"/>
      <c r="G74" s="33"/>
      <c r="J74" s="34" t="s">
        <v>28</v>
      </c>
      <c r="K74" s="35">
        <f>SUM(K70:K73)</f>
        <v>0</v>
      </c>
      <c r="M74" s="61"/>
    </row>
    <row r="75" spans="2:14" ht="15" customHeight="1">
      <c r="F75" s="23"/>
    </row>
    <row r="76" spans="2:14" ht="15" customHeight="1">
      <c r="F76" s="23"/>
      <c r="J76" s="38" t="s">
        <v>29</v>
      </c>
      <c r="K76" s="39">
        <f>+K74+K69</f>
        <v>5870.0313144450056</v>
      </c>
    </row>
    <row r="77" spans="2:14" ht="14.25" customHeight="1">
      <c r="F77" s="23"/>
    </row>
    <row r="79" spans="2:14" ht="15" customHeight="1"/>
    <row r="80" spans="2:14" ht="21" customHeight="1">
      <c r="C80" s="308" t="s">
        <v>47</v>
      </c>
      <c r="D80" s="308"/>
      <c r="E80" s="308"/>
      <c r="F80" s="308"/>
      <c r="G80" s="308"/>
      <c r="H80" s="308"/>
      <c r="I80" s="308"/>
      <c r="J80" s="308"/>
    </row>
    <row r="82" spans="2:13" ht="14.25" customHeight="1">
      <c r="C82" s="303" t="s">
        <v>2</v>
      </c>
      <c r="D82" s="303"/>
      <c r="E82" s="4" t="s">
        <v>3</v>
      </c>
      <c r="F82" s="4"/>
      <c r="G82" s="303" t="s">
        <v>4</v>
      </c>
      <c r="H82" s="303"/>
      <c r="I82" s="304" t="s">
        <v>3</v>
      </c>
      <c r="J82" s="304"/>
    </row>
    <row r="83" spans="2:13" ht="14.25" customHeight="1">
      <c r="B83" s="5" t="s">
        <v>5</v>
      </c>
      <c r="C83" s="6" t="s">
        <v>6</v>
      </c>
      <c r="D83" s="7" t="s">
        <v>7</v>
      </c>
      <c r="E83" s="8" t="s">
        <v>8</v>
      </c>
      <c r="F83" s="8" t="s">
        <v>9</v>
      </c>
      <c r="G83" s="6" t="s">
        <v>6</v>
      </c>
      <c r="H83" s="7" t="s">
        <v>7</v>
      </c>
      <c r="I83" s="8" t="s">
        <v>10</v>
      </c>
      <c r="J83" s="9" t="s">
        <v>9</v>
      </c>
    </row>
    <row r="84" spans="2:13" ht="14.25" customHeight="1">
      <c r="B84" s="10" t="str">
        <f>$B$7</f>
        <v>ABRIL</v>
      </c>
      <c r="C84" s="11">
        <f>'ESSENTIA ABR'!O32</f>
        <v>47134</v>
      </c>
      <c r="D84" s="11">
        <f>'ESSENTIA ABR'!N32</f>
        <v>38260.163999999997</v>
      </c>
      <c r="E84" s="11">
        <f>D84-C84</f>
        <v>-8873.836000000003</v>
      </c>
      <c r="F84" s="12">
        <f>D84/C84-1</f>
        <v>-0.18826825646030476</v>
      </c>
      <c r="G84" s="13">
        <f>'ESSENTIA ABR'!G32</f>
        <v>1500194.60454</v>
      </c>
      <c r="H84" s="13">
        <f>'ESSENTIA ABR'!F32</f>
        <v>1569642.96</v>
      </c>
      <c r="I84" s="13">
        <f>H84-G84</f>
        <v>69448.355459999992</v>
      </c>
      <c r="J84" s="12">
        <f>H84/G84-1</f>
        <v>4.6292897767949759E-2</v>
      </c>
    </row>
    <row r="86" spans="2:13" ht="14.25" customHeight="1">
      <c r="B86" s="305" t="s">
        <v>12</v>
      </c>
      <c r="C86" s="305"/>
      <c r="D86" s="305"/>
      <c r="E86" s="305"/>
      <c r="F86" s="14"/>
      <c r="G86" s="306" t="s">
        <v>13</v>
      </c>
      <c r="H86" s="306"/>
      <c r="I86" s="306"/>
      <c r="J86" s="306"/>
      <c r="K86" s="306"/>
    </row>
    <row r="87" spans="2:13" ht="14.25" customHeight="1">
      <c r="B87" s="9" t="s">
        <v>14</v>
      </c>
      <c r="C87" s="9" t="s">
        <v>15</v>
      </c>
      <c r="D87" s="16" t="s">
        <v>16</v>
      </c>
      <c r="E87" s="9" t="s">
        <v>17</v>
      </c>
      <c r="F87" s="17"/>
      <c r="G87" s="9" t="s">
        <v>15</v>
      </c>
      <c r="H87" s="18" t="s">
        <v>18</v>
      </c>
      <c r="I87" s="9" t="s">
        <v>19</v>
      </c>
      <c r="J87" s="9" t="s">
        <v>20</v>
      </c>
      <c r="K87" s="9" t="s">
        <v>14</v>
      </c>
      <c r="M87" s="9" t="s">
        <v>21</v>
      </c>
    </row>
    <row r="88" spans="2:13" ht="14.25" customHeight="1">
      <c r="B88" s="307"/>
      <c r="C88" s="20" t="s">
        <v>22</v>
      </c>
      <c r="D88" s="21">
        <v>1</v>
      </c>
      <c r="E88" s="22">
        <f>+D88*B88</f>
        <v>0</v>
      </c>
      <c r="F88" s="23"/>
      <c r="G88" s="28" t="str">
        <f>C88</f>
        <v>Cumplimiento Presupuesto</v>
      </c>
      <c r="H88" s="24">
        <f>G84</f>
        <v>1500194.60454</v>
      </c>
      <c r="I88" s="41">
        <f>H84</f>
        <v>1569642.96</v>
      </c>
      <c r="J88" s="25">
        <f>IFERROR(I88/H88,0)</f>
        <v>1.0462928977679498</v>
      </c>
      <c r="K88" s="26">
        <f>IF(J88&lt;M88,0,J88*$E88)</f>
        <v>0</v>
      </c>
      <c r="M88" s="45">
        <v>0.8</v>
      </c>
    </row>
    <row r="89" spans="2:13" ht="14.25" customHeight="1">
      <c r="B89" s="307"/>
      <c r="C89" s="28"/>
      <c r="D89" s="21"/>
      <c r="E89" s="22">
        <f>B88*D89</f>
        <v>0</v>
      </c>
      <c r="F89" s="23"/>
      <c r="G89" s="28">
        <f>C89</f>
        <v>0</v>
      </c>
      <c r="H89" s="45">
        <v>1</v>
      </c>
      <c r="I89" s="59"/>
      <c r="J89" s="45">
        <f>I89/H89</f>
        <v>0</v>
      </c>
      <c r="K89" s="26">
        <f>IF(J89&lt;M89,0,J89*$E89)</f>
        <v>0</v>
      </c>
      <c r="M89" s="27">
        <v>0.8</v>
      </c>
    </row>
    <row r="90" spans="2:13" ht="14.25" customHeight="1">
      <c r="B90" s="307"/>
      <c r="C90" s="28"/>
      <c r="D90" s="21"/>
      <c r="E90" s="22">
        <f>+D90*B88</f>
        <v>0</v>
      </c>
      <c r="F90" s="23"/>
      <c r="G90" s="28">
        <f>C90</f>
        <v>0</v>
      </c>
      <c r="H90" s="45">
        <v>1</v>
      </c>
      <c r="I90" s="45"/>
      <c r="J90" s="25">
        <f>IFERROR(I90/H90,0)</f>
        <v>0</v>
      </c>
      <c r="K90" s="26">
        <f>IF(J90&lt;M90,0,J90*$E90)</f>
        <v>0</v>
      </c>
      <c r="M90" s="45">
        <v>1</v>
      </c>
    </row>
    <row r="91" spans="2:13" ht="14.25" customHeight="1">
      <c r="B91" s="307"/>
      <c r="C91" s="28"/>
      <c r="D91" s="21"/>
      <c r="E91" s="22">
        <f>+D91*B88</f>
        <v>0</v>
      </c>
      <c r="F91" s="23"/>
      <c r="G91" s="28">
        <f>C91</f>
        <v>0</v>
      </c>
      <c r="H91" s="45">
        <v>1</v>
      </c>
      <c r="I91" s="45"/>
      <c r="J91" s="25">
        <f>IFERROR(I91/H91,0)</f>
        <v>0</v>
      </c>
      <c r="K91" s="26">
        <f>IF(J91&lt;M91,0,J91*$E91)</f>
        <v>0</v>
      </c>
      <c r="M91" s="45">
        <v>1</v>
      </c>
    </row>
    <row r="92" spans="2:13" ht="14.25" customHeight="1">
      <c r="B92" s="307"/>
      <c r="C92" s="28"/>
      <c r="D92" s="58"/>
      <c r="E92" s="22">
        <f>+D92*B88</f>
        <v>0</v>
      </c>
      <c r="F92" s="60"/>
      <c r="G92" s="28">
        <f>C92</f>
        <v>0</v>
      </c>
      <c r="H92" s="45">
        <v>1</v>
      </c>
      <c r="I92" s="45"/>
      <c r="J92" s="25">
        <f>IFERROR(I92/H92,0)</f>
        <v>0</v>
      </c>
      <c r="K92" s="26">
        <f>IF(J92&lt;M92,0,J92*$E92)</f>
        <v>0</v>
      </c>
      <c r="M92" s="45">
        <v>1</v>
      </c>
    </row>
    <row r="93" spans="2:13" ht="14.25" customHeight="1">
      <c r="B93" s="29"/>
      <c r="C93" s="30" t="s">
        <v>27</v>
      </c>
      <c r="D93" s="31">
        <f>SUM(D88:D92)</f>
        <v>1</v>
      </c>
      <c r="E93" s="32">
        <f>SUM(E88:E92)</f>
        <v>0</v>
      </c>
      <c r="F93" s="23"/>
      <c r="G93" s="33"/>
      <c r="J93" s="34" t="s">
        <v>28</v>
      </c>
      <c r="K93" s="35">
        <f>SUM(K89:K92)</f>
        <v>0</v>
      </c>
      <c r="M93" s="61"/>
    </row>
    <row r="94" spans="2:13" ht="15" customHeight="1">
      <c r="F94" s="23"/>
    </row>
    <row r="95" spans="2:13" ht="15" customHeight="1">
      <c r="F95" s="23"/>
      <c r="J95" s="38" t="s">
        <v>29</v>
      </c>
      <c r="K95" s="39">
        <f>+K93+K88</f>
        <v>0</v>
      </c>
    </row>
    <row r="170" spans="14:17" ht="14.25" customHeight="1">
      <c r="N170" s="1">
        <v>3</v>
      </c>
      <c r="O170" s="1">
        <v>3.1</v>
      </c>
      <c r="P170" s="1">
        <f>+O170-N170</f>
        <v>0.10000000000000009</v>
      </c>
      <c r="Q170" s="1">
        <f>+P170/O170</f>
        <v>3.2258064516129059E-2</v>
      </c>
    </row>
    <row r="174" spans="14:17" ht="14.25" customHeight="1">
      <c r="P174" s="23">
        <f>2000*3*12</f>
        <v>72000</v>
      </c>
    </row>
    <row r="177" spans="16:16" ht="14.25" customHeight="1">
      <c r="P177" s="1">
        <f>2000*12</f>
        <v>24000</v>
      </c>
    </row>
  </sheetData>
  <mergeCells count="35">
    <mergeCell ref="B86:E86"/>
    <mergeCell ref="G86:K86"/>
    <mergeCell ref="B88:B92"/>
    <mergeCell ref="B67:E67"/>
    <mergeCell ref="G67:K67"/>
    <mergeCell ref="B69:B73"/>
    <mergeCell ref="C80:J80"/>
    <mergeCell ref="C82:D82"/>
    <mergeCell ref="G82:H82"/>
    <mergeCell ref="I82:J82"/>
    <mergeCell ref="B49:E49"/>
    <mergeCell ref="G49:K49"/>
    <mergeCell ref="B51:B54"/>
    <mergeCell ref="C61:J61"/>
    <mergeCell ref="C63:D63"/>
    <mergeCell ref="G63:H63"/>
    <mergeCell ref="I63:J63"/>
    <mergeCell ref="B30:E30"/>
    <mergeCell ref="C43:J43"/>
    <mergeCell ref="C45:D45"/>
    <mergeCell ref="G45:H45"/>
    <mergeCell ref="I45:J45"/>
    <mergeCell ref="B9:E9"/>
    <mergeCell ref="G9:K9"/>
    <mergeCell ref="B11:B15"/>
    <mergeCell ref="C24:J24"/>
    <mergeCell ref="C26:D26"/>
    <mergeCell ref="G26:H26"/>
    <mergeCell ref="I26:J26"/>
    <mergeCell ref="C1:I1"/>
    <mergeCell ref="C3:J3"/>
    <mergeCell ref="C5:D5"/>
    <mergeCell ref="E5:F5"/>
    <mergeCell ref="G5:H5"/>
    <mergeCell ref="I5:J5"/>
  </mergeCells>
  <conditionalFormatting sqref="J84">
    <cfRule type="iconSet" priority="2">
      <iconSet iconSet="3Arrows">
        <cfvo type="percent" val="0"/>
        <cfvo type="num" val="0"/>
        <cfvo type="num" val="0"/>
      </iconSet>
    </cfRule>
  </conditionalFormatting>
  <conditionalFormatting sqref="F84">
    <cfRule type="iconSet" priority="3">
      <iconSet iconSet="3Arrows">
        <cfvo type="percent" val="0"/>
        <cfvo type="num" val="0"/>
        <cfvo type="num" val="0"/>
      </iconSet>
    </cfRule>
  </conditionalFormatting>
  <conditionalFormatting sqref="J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5">
    <cfRule type="iconSet" priority="5">
      <iconSet iconSet="3Arrows">
        <cfvo type="percent" val="0"/>
        <cfvo type="num" val="0"/>
        <cfvo type="num" val="0"/>
      </iconSet>
    </cfRule>
  </conditionalFormatting>
  <conditionalFormatting sqref="J47">
    <cfRule type="iconSet" priority="6">
      <iconSet iconSet="3Arrows">
        <cfvo type="percent" val="0"/>
        <cfvo type="num" val="0"/>
        <cfvo type="num" val="0"/>
      </iconSet>
    </cfRule>
  </conditionalFormatting>
  <conditionalFormatting sqref="F47">
    <cfRule type="iconSet" priority="7">
      <iconSet iconSet="3Arrows">
        <cfvo type="percent" val="0"/>
        <cfvo type="num" val="0"/>
        <cfvo type="num" val="0"/>
      </iconSet>
    </cfRule>
  </conditionalFormatting>
  <conditionalFormatting sqref="J28">
    <cfRule type="iconSet" priority="8">
      <iconSet iconSet="3Arrows">
        <cfvo type="percent" val="0"/>
        <cfvo type="num" val="0"/>
        <cfvo type="num" val="0"/>
      </iconSet>
    </cfRule>
  </conditionalFormatting>
  <conditionalFormatting sqref="F28">
    <cfRule type="iconSet" priority="9">
      <iconSet iconSet="3Arrows">
        <cfvo type="percent" val="0"/>
        <cfvo type="num" val="0"/>
        <cfvo type="num" val="0"/>
      </iconSet>
    </cfRule>
  </conditionalFormatting>
  <conditionalFormatting sqref="J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7">
    <cfRule type="iconSet" priority="1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E5D6"/>
  </sheetPr>
  <dimension ref="A2:T99"/>
  <sheetViews>
    <sheetView zoomScaleNormal="100" workbookViewId="0">
      <selection activeCell="G21" sqref="G21"/>
    </sheetView>
  </sheetViews>
  <sheetFormatPr baseColWidth="10" defaultColWidth="11.453125" defaultRowHeight="14.5"/>
  <cols>
    <col min="1" max="1" width="5.81640625" style="1" customWidth="1"/>
    <col min="2" max="2" width="4" style="1" customWidth="1"/>
    <col min="3" max="3" width="51.54296875" style="1" customWidth="1"/>
    <col min="4" max="4" width="10.1796875" style="1" customWidth="1"/>
    <col min="5" max="5" width="29.54296875" style="1" customWidth="1"/>
    <col min="6" max="7" width="11.1796875" style="1" customWidth="1"/>
    <col min="8" max="8" width="11.81640625" style="1" customWidth="1"/>
    <col min="9" max="9" width="8.81640625" style="1" customWidth="1"/>
    <col min="10" max="10" width="11.1796875" style="1" customWidth="1"/>
    <col min="11" max="11" width="10.81640625" style="1" customWidth="1"/>
    <col min="12" max="12" width="9" style="1" customWidth="1"/>
    <col min="13" max="13" width="8.81640625" style="1" customWidth="1"/>
    <col min="14" max="15" width="7.54296875" style="1" customWidth="1"/>
    <col min="16" max="16" width="8.1796875" style="1" customWidth="1"/>
    <col min="17" max="17" width="9.81640625" style="1" customWidth="1"/>
    <col min="18" max="18" width="7.54296875" style="1" customWidth="1"/>
    <col min="19" max="19" width="8.1796875" style="1" customWidth="1"/>
    <col min="20" max="20" width="7.81640625" style="1" customWidth="1"/>
  </cols>
  <sheetData>
    <row r="2" spans="4:20" ht="15" customHeight="1"/>
    <row r="3" spans="4:20" ht="15" customHeight="1">
      <c r="E3" s="64" t="s">
        <v>48</v>
      </c>
      <c r="F3" s="310" t="s">
        <v>49</v>
      </c>
      <c r="G3" s="310"/>
      <c r="H3" s="310"/>
      <c r="I3" s="310"/>
      <c r="J3" s="310"/>
      <c r="K3" s="310"/>
      <c r="L3" s="310"/>
      <c r="N3" s="310" t="s">
        <v>50</v>
      </c>
      <c r="O3" s="310"/>
      <c r="P3" s="310"/>
      <c r="Q3" s="310"/>
      <c r="R3" s="310"/>
      <c r="S3" s="310"/>
      <c r="T3" s="310"/>
    </row>
    <row r="4" spans="4:20" ht="14.25" customHeight="1">
      <c r="D4" s="65" t="s">
        <v>51</v>
      </c>
      <c r="E4" s="66" t="s">
        <v>52</v>
      </c>
      <c r="F4" s="67">
        <v>2020</v>
      </c>
      <c r="G4" s="67" t="s">
        <v>53</v>
      </c>
      <c r="H4" s="68" t="s">
        <v>54</v>
      </c>
      <c r="I4" s="69" t="s">
        <v>55</v>
      </c>
      <c r="J4" s="67">
        <v>2019</v>
      </c>
      <c r="K4" s="68" t="s">
        <v>54</v>
      </c>
      <c r="L4" s="69" t="s">
        <v>55</v>
      </c>
      <c r="N4" s="67">
        <v>2020</v>
      </c>
      <c r="O4" s="67" t="s">
        <v>53</v>
      </c>
      <c r="P4" s="68" t="s">
        <v>54</v>
      </c>
      <c r="Q4" s="69" t="s">
        <v>55</v>
      </c>
      <c r="R4" s="67">
        <v>2019</v>
      </c>
      <c r="S4" s="68" t="s">
        <v>54</v>
      </c>
      <c r="T4" s="69" t="s">
        <v>55</v>
      </c>
    </row>
    <row r="5" spans="4:20" ht="14.25" customHeight="1">
      <c r="D5" s="70">
        <v>1</v>
      </c>
      <c r="E5" s="71" t="s">
        <v>56</v>
      </c>
      <c r="F5" s="72">
        <v>5313807.18</v>
      </c>
      <c r="G5" s="73">
        <v>4793765.6329225004</v>
      </c>
      <c r="H5" s="74">
        <f t="shared" ref="H5:H12" si="0">F5-G5</f>
        <v>520041.54707749933</v>
      </c>
      <c r="I5" s="75">
        <f t="shared" ref="I5:I12" si="1">IFERROR(F5/G5-1,0)</f>
        <v>0.10848288942328987</v>
      </c>
      <c r="J5" s="73">
        <v>5883519.1600000001</v>
      </c>
      <c r="K5" s="74">
        <f t="shared" ref="K5:K12" si="2">F5-J5</f>
        <v>-569711.98000000045</v>
      </c>
      <c r="L5" s="75">
        <f t="shared" ref="L5:L12" si="3">IFERROR(F5/J5-1,0)</f>
        <v>-9.683183899073089E-2</v>
      </c>
      <c r="N5" s="76">
        <v>132874.53</v>
      </c>
      <c r="O5" s="77">
        <v>158923.64139999999</v>
      </c>
      <c r="P5" s="78">
        <f t="shared" ref="P5:P12" si="4">N5-O5</f>
        <v>-26049.111399999994</v>
      </c>
      <c r="Q5" s="75">
        <f t="shared" ref="Q5:Q12" si="5">IFERROR(N5/O5-1,0)</f>
        <v>-0.16390960571080893</v>
      </c>
      <c r="R5" s="77">
        <v>179310.228</v>
      </c>
      <c r="S5" s="78">
        <f t="shared" ref="S5:S12" si="6">N5-R5</f>
        <v>-46435.698000000004</v>
      </c>
      <c r="T5" s="75">
        <f t="shared" ref="T5:T12" si="7">IFERROR(N5/R5-1,0)</f>
        <v>-0.25896848449715881</v>
      </c>
    </row>
    <row r="6" spans="4:20" ht="14.25" customHeight="1">
      <c r="D6" s="70">
        <v>2</v>
      </c>
      <c r="E6" s="71" t="s">
        <v>57</v>
      </c>
      <c r="F6" s="72">
        <v>1066299.3600000001</v>
      </c>
      <c r="G6" s="73">
        <v>2222720.0651799999</v>
      </c>
      <c r="H6" s="74">
        <f t="shared" si="0"/>
        <v>-1156420.7051799998</v>
      </c>
      <c r="I6" s="75">
        <f t="shared" si="1"/>
        <v>-0.52027276097242181</v>
      </c>
      <c r="J6" s="73">
        <v>2460058.16</v>
      </c>
      <c r="K6" s="74">
        <f t="shared" si="2"/>
        <v>-1393758.8</v>
      </c>
      <c r="L6" s="75">
        <f t="shared" si="3"/>
        <v>-0.56655522323098251</v>
      </c>
      <c r="N6" s="76">
        <v>16035.98</v>
      </c>
      <c r="O6" s="77">
        <v>31844</v>
      </c>
      <c r="P6" s="78">
        <f t="shared" si="4"/>
        <v>-15808.02</v>
      </c>
      <c r="Q6" s="75">
        <f t="shared" si="5"/>
        <v>-0.49642067579449822</v>
      </c>
      <c r="R6" s="77">
        <v>52118.002899999999</v>
      </c>
      <c r="S6" s="78">
        <f t="shared" si="6"/>
        <v>-36082.022899999996</v>
      </c>
      <c r="T6" s="75">
        <f t="shared" si="7"/>
        <v>-0.69231399693559625</v>
      </c>
    </row>
    <row r="7" spans="4:20" ht="14.25" customHeight="1">
      <c r="D7" s="70">
        <v>3</v>
      </c>
      <c r="E7" s="71" t="s">
        <v>58</v>
      </c>
      <c r="F7" s="72">
        <v>1569642.96</v>
      </c>
      <c r="G7" s="73">
        <v>1506074.1270399999</v>
      </c>
      <c r="H7" s="74">
        <f t="shared" si="0"/>
        <v>63568.832960000029</v>
      </c>
      <c r="I7" s="75">
        <f t="shared" si="1"/>
        <v>4.2208302910651918E-2</v>
      </c>
      <c r="J7" s="73">
        <v>1143991.06</v>
      </c>
      <c r="K7" s="74">
        <f t="shared" si="2"/>
        <v>425651.89999999991</v>
      </c>
      <c r="L7" s="75">
        <f t="shared" si="3"/>
        <v>0.37207624681962104</v>
      </c>
      <c r="N7" s="76">
        <v>38260.163999999997</v>
      </c>
      <c r="O7" s="77">
        <v>47169</v>
      </c>
      <c r="P7" s="78">
        <f t="shared" si="4"/>
        <v>-8908.836000000003</v>
      </c>
      <c r="Q7" s="75">
        <f t="shared" si="5"/>
        <v>-0.18887057177383459</v>
      </c>
      <c r="R7" s="77">
        <v>37083.389900000002</v>
      </c>
      <c r="S7" s="78">
        <f t="shared" si="6"/>
        <v>1176.7740999999951</v>
      </c>
      <c r="T7" s="75">
        <f t="shared" si="7"/>
        <v>3.1733185751715576E-2</v>
      </c>
    </row>
    <row r="8" spans="4:20" ht="14.25" customHeight="1">
      <c r="D8" s="70">
        <v>4</v>
      </c>
      <c r="E8" s="71" t="s">
        <v>132</v>
      </c>
      <c r="F8" s="72">
        <v>2064306.82</v>
      </c>
      <c r="G8" s="73">
        <v>2252395.969</v>
      </c>
      <c r="H8" s="74">
        <f t="shared" si="0"/>
        <v>-188089.14899999998</v>
      </c>
      <c r="I8" s="75">
        <f t="shared" si="1"/>
        <v>-8.3506253602250169E-2</v>
      </c>
      <c r="J8" s="73">
        <v>2279686.2200000002</v>
      </c>
      <c r="K8" s="74">
        <f t="shared" si="2"/>
        <v>-215379.40000000014</v>
      </c>
      <c r="L8" s="75">
        <f t="shared" si="3"/>
        <v>-9.4477651402393503E-2</v>
      </c>
      <c r="N8" s="76">
        <v>76524.320000000007</v>
      </c>
      <c r="O8" s="77">
        <v>111960</v>
      </c>
      <c r="P8" s="78">
        <f t="shared" si="4"/>
        <v>-35435.679999999993</v>
      </c>
      <c r="Q8" s="75">
        <f t="shared" si="5"/>
        <v>-0.31650303679885672</v>
      </c>
      <c r="R8" s="77">
        <v>102460</v>
      </c>
      <c r="S8" s="78">
        <f t="shared" si="6"/>
        <v>-25935.679999999993</v>
      </c>
      <c r="T8" s="75">
        <f t="shared" si="7"/>
        <v>-0.2531298067538551</v>
      </c>
    </row>
    <row r="9" spans="4:20" ht="14.25" customHeight="1">
      <c r="D9" s="70">
        <v>5</v>
      </c>
      <c r="E9" s="71" t="s">
        <v>59</v>
      </c>
      <c r="F9" s="72">
        <v>203864.18</v>
      </c>
      <c r="G9" s="73">
        <v>150047.45699999999</v>
      </c>
      <c r="H9" s="74">
        <f t="shared" si="0"/>
        <v>53816.722999999998</v>
      </c>
      <c r="I9" s="75">
        <f t="shared" si="1"/>
        <v>0.35866467900219057</v>
      </c>
      <c r="J9" s="73">
        <v>83401.350000000006</v>
      </c>
      <c r="K9" s="74">
        <f t="shared" si="2"/>
        <v>120462.82999999999</v>
      </c>
      <c r="L9" s="75">
        <f t="shared" si="3"/>
        <v>1.4443750610751502</v>
      </c>
      <c r="N9" s="76">
        <v>200</v>
      </c>
      <c r="O9" s="77">
        <v>170</v>
      </c>
      <c r="P9" s="78">
        <f t="shared" si="4"/>
        <v>30</v>
      </c>
      <c r="Q9" s="75">
        <f t="shared" si="5"/>
        <v>0.17647058823529416</v>
      </c>
      <c r="R9" s="77">
        <v>90.84</v>
      </c>
      <c r="S9" s="78">
        <f t="shared" si="6"/>
        <v>109.16</v>
      </c>
      <c r="T9" s="75">
        <f t="shared" si="7"/>
        <v>1.2016732716864817</v>
      </c>
    </row>
    <row r="10" spans="4:20" ht="14.25" customHeight="1">
      <c r="D10" s="70">
        <v>6</v>
      </c>
      <c r="E10" s="71" t="s">
        <v>60</v>
      </c>
      <c r="F10" s="72">
        <v>1203406.19</v>
      </c>
      <c r="G10" s="73">
        <v>1134739.063628</v>
      </c>
      <c r="H10" s="74">
        <f t="shared" si="0"/>
        <v>68667.12637199997</v>
      </c>
      <c r="I10" s="75">
        <f t="shared" si="1"/>
        <v>6.0513582878213956E-2</v>
      </c>
      <c r="J10" s="73">
        <v>1435051.24</v>
      </c>
      <c r="K10" s="74">
        <f t="shared" si="2"/>
        <v>-231645.05000000005</v>
      </c>
      <c r="L10" s="75">
        <f t="shared" si="3"/>
        <v>-0.1614193580990182</v>
      </c>
      <c r="N10" s="76">
        <v>18591.501899999999</v>
      </c>
      <c r="O10" s="77">
        <v>20501.240000000002</v>
      </c>
      <c r="P10" s="78">
        <f t="shared" si="4"/>
        <v>-1909.7381000000023</v>
      </c>
      <c r="Q10" s="75">
        <f t="shared" si="5"/>
        <v>-9.3152321518113146E-2</v>
      </c>
      <c r="R10" s="77">
        <v>24134.32</v>
      </c>
      <c r="S10" s="78">
        <f t="shared" si="6"/>
        <v>-5542.8181000000004</v>
      </c>
      <c r="T10" s="75">
        <f t="shared" si="7"/>
        <v>-0.22966539351429838</v>
      </c>
    </row>
    <row r="11" spans="4:20" ht="14.25" customHeight="1">
      <c r="D11" s="70">
        <v>7</v>
      </c>
      <c r="E11" s="71" t="s">
        <v>61</v>
      </c>
      <c r="F11" s="72">
        <v>1128176.32</v>
      </c>
      <c r="G11" s="73">
        <v>1900549.9577921301</v>
      </c>
      <c r="H11" s="74">
        <f t="shared" si="0"/>
        <v>-772373.63779213</v>
      </c>
      <c r="I11" s="75">
        <f t="shared" si="1"/>
        <v>-0.4063948093684403</v>
      </c>
      <c r="J11" s="73">
        <v>1674568.02</v>
      </c>
      <c r="K11" s="74">
        <f t="shared" si="2"/>
        <v>-546391.69999999995</v>
      </c>
      <c r="L11" s="75">
        <f t="shared" si="3"/>
        <v>-0.32628814922668825</v>
      </c>
      <c r="N11" s="76">
        <v>17999.54</v>
      </c>
      <c r="O11" s="77">
        <v>28360.021199999999</v>
      </c>
      <c r="P11" s="78">
        <f t="shared" si="4"/>
        <v>-10360.481199999998</v>
      </c>
      <c r="Q11" s="75">
        <f t="shared" si="5"/>
        <v>-0.3653199384773379</v>
      </c>
      <c r="R11" s="77">
        <v>27009.544000000002</v>
      </c>
      <c r="S11" s="78">
        <f t="shared" si="6"/>
        <v>-9010.0040000000008</v>
      </c>
      <c r="T11" s="75">
        <f t="shared" si="7"/>
        <v>-0.33358593540120485</v>
      </c>
    </row>
    <row r="12" spans="4:20" ht="14.25" customHeight="1">
      <c r="F12" s="79">
        <f>SUM(F5:F11)</f>
        <v>12549503.01</v>
      </c>
      <c r="G12" s="79">
        <f>SUM(G5:G11)</f>
        <v>13960292.27256263</v>
      </c>
      <c r="H12" s="79">
        <f t="shared" si="0"/>
        <v>-1410789.2625626307</v>
      </c>
      <c r="I12" s="80">
        <f t="shared" si="1"/>
        <v>-0.10105728698355243</v>
      </c>
      <c r="J12" s="79">
        <f>SUM(J5:J11)</f>
        <v>14960275.210000001</v>
      </c>
      <c r="K12" s="79">
        <f t="shared" si="2"/>
        <v>-2410772.2000000011</v>
      </c>
      <c r="L12" s="80">
        <f t="shared" si="3"/>
        <v>-0.16114490984688246</v>
      </c>
      <c r="N12" s="81">
        <f>SUM(N5:N11)</f>
        <v>300486.03589999996</v>
      </c>
      <c r="O12" s="81">
        <f>SUM(O5:O11)</f>
        <v>398927.90259999997</v>
      </c>
      <c r="P12" s="81">
        <f t="shared" si="4"/>
        <v>-98441.866700000013</v>
      </c>
      <c r="Q12" s="80">
        <f t="shared" si="5"/>
        <v>-0.2467660598780087</v>
      </c>
      <c r="R12" s="81">
        <f>SUM(R5:R11)</f>
        <v>422206.3248</v>
      </c>
      <c r="S12" s="81">
        <f t="shared" si="6"/>
        <v>-121720.28890000004</v>
      </c>
      <c r="T12" s="80">
        <f t="shared" si="7"/>
        <v>-0.2882957496140286</v>
      </c>
    </row>
    <row r="14" spans="4:20" ht="15" customHeight="1"/>
    <row r="15" spans="4:20" ht="15" customHeight="1">
      <c r="E15" s="64" t="s">
        <v>62</v>
      </c>
      <c r="F15" s="310" t="s">
        <v>49</v>
      </c>
      <c r="G15" s="310"/>
      <c r="H15" s="310"/>
      <c r="I15" s="310"/>
      <c r="J15" s="310"/>
      <c r="K15" s="310"/>
      <c r="L15" s="310"/>
      <c r="N15" s="310" t="s">
        <v>50</v>
      </c>
      <c r="O15" s="310"/>
      <c r="P15" s="310"/>
      <c r="Q15" s="310"/>
      <c r="R15" s="310"/>
      <c r="S15" s="310"/>
      <c r="T15" s="310"/>
    </row>
    <row r="16" spans="4:20" ht="14.25" customHeight="1">
      <c r="D16" s="65" t="s">
        <v>51</v>
      </c>
      <c r="E16" s="66" t="s">
        <v>52</v>
      </c>
      <c r="F16" s="67">
        <v>2020</v>
      </c>
      <c r="G16" s="67" t="s">
        <v>53</v>
      </c>
      <c r="H16" s="68" t="s">
        <v>54</v>
      </c>
      <c r="I16" s="69" t="s">
        <v>55</v>
      </c>
      <c r="J16" s="67">
        <v>2019</v>
      </c>
      <c r="K16" s="68" t="s">
        <v>54</v>
      </c>
      <c r="L16" s="69" t="s">
        <v>55</v>
      </c>
      <c r="N16" s="67">
        <v>2020</v>
      </c>
      <c r="O16" s="67" t="s">
        <v>53</v>
      </c>
      <c r="P16" s="68" t="s">
        <v>54</v>
      </c>
      <c r="Q16" s="69" t="s">
        <v>55</v>
      </c>
      <c r="R16" s="67">
        <v>2019</v>
      </c>
      <c r="S16" s="68" t="s">
        <v>54</v>
      </c>
      <c r="T16" s="69" t="s">
        <v>55</v>
      </c>
    </row>
    <row r="17" spans="4:20" ht="14.25" customHeight="1">
      <c r="D17" s="70">
        <v>1</v>
      </c>
      <c r="E17" s="71" t="s">
        <v>56</v>
      </c>
      <c r="F17" s="72"/>
      <c r="G17" s="73">
        <f>SUM(L44:L55)</f>
        <v>-13505.685950000006</v>
      </c>
      <c r="H17" s="74"/>
      <c r="I17" s="75"/>
      <c r="J17" s="73"/>
      <c r="K17" s="74"/>
      <c r="L17" s="75"/>
      <c r="N17" s="76"/>
      <c r="O17" s="77">
        <f>SUM(H44:H55)</f>
        <v>-226.5</v>
      </c>
      <c r="P17" s="78"/>
      <c r="Q17" s="75"/>
      <c r="R17" s="77"/>
      <c r="S17" s="78"/>
      <c r="T17" s="75"/>
    </row>
    <row r="18" spans="4:20" ht="14.25" customHeight="1">
      <c r="D18" s="70">
        <v>2</v>
      </c>
      <c r="E18" s="71" t="s">
        <v>57</v>
      </c>
      <c r="F18" s="72"/>
      <c r="G18" s="73">
        <f>SUM(L63:L65)</f>
        <v>-2698.9199999999996</v>
      </c>
      <c r="H18" s="74"/>
      <c r="I18" s="75"/>
      <c r="J18" s="73"/>
      <c r="K18" s="74"/>
      <c r="L18" s="75"/>
      <c r="N18" s="76"/>
      <c r="O18" s="77">
        <f>SUM(H63:H65)</f>
        <v>0</v>
      </c>
      <c r="P18" s="78"/>
      <c r="Q18" s="75"/>
      <c r="R18" s="77"/>
      <c r="S18" s="78"/>
      <c r="T18" s="75"/>
    </row>
    <row r="19" spans="4:20" ht="14.25" customHeight="1">
      <c r="D19" s="70">
        <v>3</v>
      </c>
      <c r="E19" s="71" t="s">
        <v>131</v>
      </c>
      <c r="F19" s="72"/>
      <c r="G19" s="73">
        <f>SUM(L73:L75)</f>
        <v>-5879.5224999999991</v>
      </c>
      <c r="H19" s="74"/>
      <c r="I19" s="75"/>
      <c r="J19" s="73"/>
      <c r="K19" s="74"/>
      <c r="L19" s="75"/>
      <c r="N19" s="76"/>
      <c r="O19" s="77">
        <f>SUM(H73:H75)</f>
        <v>-35</v>
      </c>
      <c r="P19" s="78"/>
      <c r="Q19" s="75"/>
      <c r="R19" s="77"/>
      <c r="S19" s="78"/>
      <c r="T19" s="75"/>
    </row>
    <row r="20" spans="4:20" ht="14.25" customHeight="1">
      <c r="D20" s="70">
        <v>4</v>
      </c>
      <c r="E20" s="71" t="s">
        <v>132</v>
      </c>
      <c r="F20" s="72"/>
      <c r="G20" s="73"/>
      <c r="H20" s="74"/>
      <c r="I20" s="75"/>
      <c r="J20" s="73"/>
      <c r="K20" s="74"/>
      <c r="L20" s="75"/>
      <c r="N20" s="76"/>
      <c r="O20" s="77"/>
      <c r="P20" s="78"/>
      <c r="Q20" s="75"/>
      <c r="R20" s="77"/>
      <c r="S20" s="78"/>
      <c r="T20" s="75"/>
    </row>
    <row r="21" spans="4:20" ht="14.25" customHeight="1">
      <c r="D21" s="70">
        <v>5</v>
      </c>
      <c r="E21" s="71" t="s">
        <v>59</v>
      </c>
      <c r="F21" s="72"/>
      <c r="G21" s="73"/>
      <c r="H21" s="74"/>
      <c r="I21" s="75"/>
      <c r="J21" s="73"/>
      <c r="K21" s="74"/>
      <c r="L21" s="75"/>
      <c r="N21" s="76"/>
      <c r="O21" s="77"/>
      <c r="P21" s="78"/>
      <c r="Q21" s="75"/>
      <c r="R21" s="77"/>
      <c r="S21" s="78"/>
      <c r="T21" s="75"/>
    </row>
    <row r="22" spans="4:20" ht="14.25" customHeight="1">
      <c r="D22" s="70">
        <v>6</v>
      </c>
      <c r="E22" s="71" t="s">
        <v>60</v>
      </c>
      <c r="F22" s="72"/>
      <c r="G22" s="73">
        <f>SUM(L83:L89)</f>
        <v>-47071.409500000002</v>
      </c>
      <c r="H22" s="74"/>
      <c r="I22" s="75"/>
      <c r="J22" s="73"/>
      <c r="K22" s="74"/>
      <c r="L22" s="75"/>
      <c r="N22" s="76"/>
      <c r="O22" s="77">
        <f>SUM(H83:H89)</f>
        <v>-332</v>
      </c>
      <c r="P22" s="78"/>
      <c r="Q22" s="75"/>
      <c r="R22" s="77"/>
      <c r="S22" s="78"/>
      <c r="T22" s="75"/>
    </row>
    <row r="23" spans="4:20" ht="14.25" customHeight="1">
      <c r="D23" s="70">
        <v>7</v>
      </c>
      <c r="E23" s="71" t="s">
        <v>61</v>
      </c>
      <c r="F23" s="72"/>
      <c r="G23" s="73">
        <f>SUM(L97:L98)</f>
        <v>1693.0490000000009</v>
      </c>
      <c r="H23" s="74"/>
      <c r="I23" s="75"/>
      <c r="J23" s="73"/>
      <c r="K23" s="74"/>
      <c r="L23" s="75"/>
      <c r="N23" s="76"/>
      <c r="O23" s="77">
        <f>SUM(H97:H98)</f>
        <v>-2</v>
      </c>
      <c r="P23" s="78"/>
      <c r="Q23" s="75"/>
      <c r="R23" s="77"/>
      <c r="S23" s="78"/>
      <c r="T23" s="75"/>
    </row>
    <row r="24" spans="4:20" ht="14.25" customHeight="1">
      <c r="F24" s="79">
        <f>SUM(F17:F23)</f>
        <v>0</v>
      </c>
      <c r="G24" s="79">
        <f>SUM(G17:G23)</f>
        <v>-67462.488949999999</v>
      </c>
      <c r="H24" s="79">
        <f>F24-G24</f>
        <v>67462.488949999999</v>
      </c>
      <c r="I24" s="80">
        <f>IFERROR(F24/G24-1,0)</f>
        <v>-1</v>
      </c>
      <c r="J24" s="79">
        <f>SUM(J17:J23)</f>
        <v>0</v>
      </c>
      <c r="K24" s="79">
        <f>F24-J24</f>
        <v>0</v>
      </c>
      <c r="L24" s="80">
        <f>IFERROR(F24/J24-1,0)</f>
        <v>0</v>
      </c>
      <c r="N24" s="81">
        <f>SUM(N17:N23)</f>
        <v>0</v>
      </c>
      <c r="O24" s="81">
        <f>SUM(O17:O23)</f>
        <v>-595.5</v>
      </c>
      <c r="P24" s="81">
        <f>N24-O24</f>
        <v>595.5</v>
      </c>
      <c r="Q24" s="80">
        <f>IFERROR(N24/O24-1,0)</f>
        <v>-1</v>
      </c>
      <c r="R24" s="81">
        <f>SUM(R17:R23)</f>
        <v>0</v>
      </c>
      <c r="S24" s="81">
        <f>N24-R24</f>
        <v>0</v>
      </c>
      <c r="T24" s="80">
        <f>IFERROR(N24/R24-1,0)</f>
        <v>0</v>
      </c>
    </row>
    <row r="27" spans="4:20" ht="15" customHeight="1"/>
    <row r="28" spans="4:20" ht="15" customHeight="1">
      <c r="E28" s="64" t="s">
        <v>63</v>
      </c>
      <c r="F28" s="310" t="s">
        <v>49</v>
      </c>
      <c r="G28" s="310"/>
      <c r="H28" s="310"/>
      <c r="I28" s="310"/>
      <c r="J28" s="310"/>
      <c r="K28" s="310"/>
      <c r="L28" s="310"/>
      <c r="N28" s="310" t="s">
        <v>50</v>
      </c>
      <c r="O28" s="310"/>
      <c r="P28" s="310"/>
      <c r="Q28" s="310"/>
      <c r="R28" s="310"/>
      <c r="S28" s="310"/>
      <c r="T28" s="310"/>
    </row>
    <row r="29" spans="4:20" ht="14.25" customHeight="1">
      <c r="D29" s="65" t="s">
        <v>51</v>
      </c>
      <c r="E29" s="66" t="s">
        <v>52</v>
      </c>
      <c r="F29" s="67">
        <v>2020</v>
      </c>
      <c r="G29" s="67" t="s">
        <v>53</v>
      </c>
      <c r="H29" s="68" t="s">
        <v>54</v>
      </c>
      <c r="I29" s="69" t="s">
        <v>55</v>
      </c>
      <c r="J29" s="67">
        <v>2019</v>
      </c>
      <c r="K29" s="68" t="s">
        <v>54</v>
      </c>
      <c r="L29" s="69" t="s">
        <v>55</v>
      </c>
      <c r="N29" s="67">
        <v>2020</v>
      </c>
      <c r="O29" s="67" t="s">
        <v>53</v>
      </c>
      <c r="P29" s="68" t="s">
        <v>54</v>
      </c>
      <c r="Q29" s="69" t="s">
        <v>55</v>
      </c>
      <c r="R29" s="67">
        <v>2019</v>
      </c>
      <c r="S29" s="68" t="s">
        <v>54</v>
      </c>
      <c r="T29" s="69" t="s">
        <v>55</v>
      </c>
    </row>
    <row r="30" spans="4:20" ht="14.25" customHeight="1">
      <c r="D30" s="70">
        <v>1</v>
      </c>
      <c r="E30" s="71" t="s">
        <v>56</v>
      </c>
      <c r="F30" s="72">
        <f>F5</f>
        <v>5313807.18</v>
      </c>
      <c r="G30" s="73">
        <f>G5+G17</f>
        <v>4780259.9469725005</v>
      </c>
      <c r="H30" s="74">
        <f t="shared" ref="H30:H37" si="8">F30-G30</f>
        <v>533547.23302749917</v>
      </c>
      <c r="I30" s="75">
        <f t="shared" ref="I30:I37" si="9">IFERROR(F30/G30-1,0)</f>
        <v>0.11161469019386949</v>
      </c>
      <c r="J30" s="73">
        <v>5842159.1699999999</v>
      </c>
      <c r="K30" s="74">
        <f t="shared" ref="K30:K37" si="10">F30-J30</f>
        <v>-528351.99000000022</v>
      </c>
      <c r="L30" s="75">
        <f t="shared" ref="L30:L37" si="11">IFERROR(F30/J30-1,0)</f>
        <v>-9.0437794422502882E-2</v>
      </c>
      <c r="N30" s="76">
        <f>N5</f>
        <v>132874.53</v>
      </c>
      <c r="O30" s="77">
        <f>O5+O17</f>
        <v>158697.14139999999</v>
      </c>
      <c r="P30" s="78">
        <f t="shared" ref="P30:P37" si="12">N30-O30</f>
        <v>-25822.611399999994</v>
      </c>
      <c r="Q30" s="75">
        <f t="shared" ref="Q30:Q37" si="13">IFERROR(N30/O30-1,0)</f>
        <v>-0.16271629830378276</v>
      </c>
      <c r="R30" s="77">
        <v>173656.21239999999</v>
      </c>
      <c r="S30" s="78">
        <f t="shared" ref="S30:S37" si="14">N30-R30</f>
        <v>-40781.682399999991</v>
      </c>
      <c r="T30" s="75">
        <f t="shared" ref="T30:T37" si="15">IFERROR(N30/R30-1,0)</f>
        <v>-0.23484148269952709</v>
      </c>
    </row>
    <row r="31" spans="4:20" ht="14.25" customHeight="1">
      <c r="D31" s="70">
        <v>2</v>
      </c>
      <c r="E31" s="71" t="s">
        <v>57</v>
      </c>
      <c r="F31" s="72">
        <f>F6</f>
        <v>1066299.3600000001</v>
      </c>
      <c r="G31" s="73">
        <f>G6+G18</f>
        <v>2220021.14518</v>
      </c>
      <c r="H31" s="74">
        <f t="shared" si="8"/>
        <v>-1153721.7851799999</v>
      </c>
      <c r="I31" s="75">
        <f t="shared" si="9"/>
        <v>-0.51968954786079569</v>
      </c>
      <c r="J31" s="73">
        <v>2674387.91</v>
      </c>
      <c r="K31" s="74">
        <f t="shared" si="10"/>
        <v>-1608088.55</v>
      </c>
      <c r="L31" s="75">
        <f t="shared" si="11"/>
        <v>-0.60129218502188042</v>
      </c>
      <c r="N31" s="76">
        <f>N6</f>
        <v>16035.98</v>
      </c>
      <c r="O31" s="77">
        <f>O6+O18</f>
        <v>31844</v>
      </c>
      <c r="P31" s="78">
        <f t="shared" si="12"/>
        <v>-15808.02</v>
      </c>
      <c r="Q31" s="75">
        <f t="shared" si="13"/>
        <v>-0.49642067579449822</v>
      </c>
      <c r="R31" s="77">
        <v>47224.029699999999</v>
      </c>
      <c r="S31" s="78">
        <f t="shared" si="14"/>
        <v>-31188.0497</v>
      </c>
      <c r="T31" s="75">
        <f t="shared" si="15"/>
        <v>-0.6604275386520011</v>
      </c>
    </row>
    <row r="32" spans="4:20" ht="14.25" customHeight="1">
      <c r="D32" s="70">
        <v>3</v>
      </c>
      <c r="E32" s="71" t="s">
        <v>131</v>
      </c>
      <c r="F32" s="72">
        <f>F7</f>
        <v>1569642.96</v>
      </c>
      <c r="G32" s="73">
        <f>G7+G19</f>
        <v>1500194.60454</v>
      </c>
      <c r="H32" s="74">
        <f t="shared" si="8"/>
        <v>69448.355459999992</v>
      </c>
      <c r="I32" s="75">
        <f t="shared" si="9"/>
        <v>4.6292897767949759E-2</v>
      </c>
      <c r="J32" s="73">
        <v>1403179.91</v>
      </c>
      <c r="K32" s="74">
        <f t="shared" si="10"/>
        <v>166463.05000000005</v>
      </c>
      <c r="L32" s="75">
        <f t="shared" si="11"/>
        <v>0.11863272044708806</v>
      </c>
      <c r="N32" s="76">
        <f>N7</f>
        <v>38260.163999999997</v>
      </c>
      <c r="O32" s="77">
        <f>O7+O19</f>
        <v>47134</v>
      </c>
      <c r="P32" s="78">
        <f t="shared" si="12"/>
        <v>-8873.836000000003</v>
      </c>
      <c r="Q32" s="75">
        <f t="shared" si="13"/>
        <v>-0.18826825646030476</v>
      </c>
      <c r="R32" s="77">
        <v>36118.063900000001</v>
      </c>
      <c r="S32" s="78">
        <f t="shared" si="14"/>
        <v>2142.100099999996</v>
      </c>
      <c r="T32" s="75">
        <f t="shared" si="15"/>
        <v>5.9308275934469412E-2</v>
      </c>
    </row>
    <row r="33" spans="1:20" ht="14.25" customHeight="1">
      <c r="D33" s="70">
        <v>4</v>
      </c>
      <c r="E33" s="71" t="s">
        <v>132</v>
      </c>
      <c r="F33" s="72">
        <f>F8</f>
        <v>2064306.82</v>
      </c>
      <c r="G33" s="73">
        <f>G8+G20</f>
        <v>2252395.969</v>
      </c>
      <c r="H33" s="74">
        <f t="shared" si="8"/>
        <v>-188089.14899999998</v>
      </c>
      <c r="I33" s="75">
        <f t="shared" si="9"/>
        <v>-8.3506253602250169E-2</v>
      </c>
      <c r="J33" s="73">
        <v>1816329.76</v>
      </c>
      <c r="K33" s="74">
        <f t="shared" si="10"/>
        <v>247977.06000000006</v>
      </c>
      <c r="L33" s="75">
        <f t="shared" si="11"/>
        <v>0.1365264532140904</v>
      </c>
      <c r="N33" s="76">
        <f>N8</f>
        <v>76524.320000000007</v>
      </c>
      <c r="O33" s="77">
        <f>O8+O20</f>
        <v>111960</v>
      </c>
      <c r="P33" s="78">
        <f t="shared" si="12"/>
        <v>-35435.679999999993</v>
      </c>
      <c r="Q33" s="75">
        <f t="shared" si="13"/>
        <v>-0.31650303679885672</v>
      </c>
      <c r="R33" s="77">
        <v>79547.88</v>
      </c>
      <c r="S33" s="78">
        <f t="shared" si="14"/>
        <v>-3023.5599999999977</v>
      </c>
      <c r="T33" s="75">
        <f t="shared" si="15"/>
        <v>-3.8009309613279418E-2</v>
      </c>
    </row>
    <row r="34" spans="1:20" ht="14.25" customHeight="1">
      <c r="D34" s="70">
        <v>5</v>
      </c>
      <c r="E34" s="71" t="s">
        <v>59</v>
      </c>
      <c r="F34" s="72">
        <f>F9</f>
        <v>203864.18</v>
      </c>
      <c r="G34" s="73">
        <f>G9+G21</f>
        <v>150047.45699999999</v>
      </c>
      <c r="H34" s="74">
        <f t="shared" si="8"/>
        <v>53816.722999999998</v>
      </c>
      <c r="I34" s="75">
        <f t="shared" si="9"/>
        <v>0.35866467900219057</v>
      </c>
      <c r="J34" s="73">
        <v>191931.4</v>
      </c>
      <c r="K34" s="74">
        <f t="shared" si="10"/>
        <v>11932.779999999999</v>
      </c>
      <c r="L34" s="75">
        <f t="shared" si="11"/>
        <v>6.217210940992457E-2</v>
      </c>
      <c r="N34" s="76">
        <f>N9</f>
        <v>200</v>
      </c>
      <c r="O34" s="77">
        <f>O9+O21</f>
        <v>170</v>
      </c>
      <c r="P34" s="78">
        <f t="shared" si="12"/>
        <v>30</v>
      </c>
      <c r="Q34" s="75">
        <f t="shared" si="13"/>
        <v>0.17647058823529416</v>
      </c>
      <c r="R34" s="77">
        <v>230</v>
      </c>
      <c r="S34" s="78">
        <f t="shared" si="14"/>
        <v>-30</v>
      </c>
      <c r="T34" s="75">
        <f t="shared" si="15"/>
        <v>-0.13043478260869568</v>
      </c>
    </row>
    <row r="35" spans="1:20" ht="14.25" customHeight="1">
      <c r="D35" s="70">
        <v>6</v>
      </c>
      <c r="E35" s="71" t="s">
        <v>60</v>
      </c>
      <c r="F35" s="72">
        <f>F10+F8</f>
        <v>3267713.01</v>
      </c>
      <c r="G35" s="73">
        <f>+G8+G10+G22</f>
        <v>3340063.6231279997</v>
      </c>
      <c r="H35" s="74">
        <f t="shared" si="8"/>
        <v>-72350.613127999939</v>
      </c>
      <c r="I35" s="75">
        <f t="shared" si="9"/>
        <v>-2.1661447592499106E-2</v>
      </c>
      <c r="J35" s="73">
        <f>J10+J8</f>
        <v>3714737.46</v>
      </c>
      <c r="K35" s="74">
        <f t="shared" si="10"/>
        <v>-447024.45000000019</v>
      </c>
      <c r="L35" s="75">
        <f t="shared" si="11"/>
        <v>-0.12033810055583316</v>
      </c>
      <c r="N35" s="76">
        <f>N10+N8</f>
        <v>95115.82190000001</v>
      </c>
      <c r="O35" s="77">
        <f>+O8+O10+O22</f>
        <v>132129.24</v>
      </c>
      <c r="P35" s="78">
        <f t="shared" si="12"/>
        <v>-37013.418099999981</v>
      </c>
      <c r="Q35" s="75">
        <f t="shared" si="13"/>
        <v>-0.2801304094385163</v>
      </c>
      <c r="R35" s="77">
        <v>25602.359799999998</v>
      </c>
      <c r="S35" s="78">
        <f t="shared" si="14"/>
        <v>69513.462100000004</v>
      </c>
      <c r="T35" s="75">
        <f t="shared" si="15"/>
        <v>2.7151193344294775</v>
      </c>
    </row>
    <row r="36" spans="1:20" ht="14.25" customHeight="1">
      <c r="D36" s="70">
        <v>7</v>
      </c>
      <c r="E36" s="71" t="s">
        <v>61</v>
      </c>
      <c r="F36" s="72">
        <f>F11</f>
        <v>1128176.32</v>
      </c>
      <c r="G36" s="73">
        <f>G11+G23</f>
        <v>1902243.0067921302</v>
      </c>
      <c r="H36" s="74">
        <f t="shared" si="8"/>
        <v>-774066.68679213012</v>
      </c>
      <c r="I36" s="75">
        <f t="shared" si="9"/>
        <v>-0.40692313444089701</v>
      </c>
      <c r="J36" s="73">
        <v>1359435.81</v>
      </c>
      <c r="K36" s="74">
        <f t="shared" si="10"/>
        <v>-231259.49</v>
      </c>
      <c r="L36" s="75">
        <f t="shared" si="11"/>
        <v>-0.17011431381964259</v>
      </c>
      <c r="N36" s="76">
        <f>N11</f>
        <v>17999.54</v>
      </c>
      <c r="O36" s="77">
        <f>O11+O23</f>
        <v>28358.021199999999</v>
      </c>
      <c r="P36" s="78">
        <f t="shared" si="12"/>
        <v>-10358.481199999998</v>
      </c>
      <c r="Q36" s="75">
        <f t="shared" si="13"/>
        <v>-0.3652751765345319</v>
      </c>
      <c r="R36" s="77">
        <v>24423.471799999999</v>
      </c>
      <c r="S36" s="78">
        <f t="shared" si="14"/>
        <v>-6423.9317999999985</v>
      </c>
      <c r="T36" s="75">
        <f t="shared" si="15"/>
        <v>-0.26302287621532983</v>
      </c>
    </row>
    <row r="37" spans="1:20" ht="14.25" customHeight="1">
      <c r="F37" s="79">
        <f>SUM(F30:F36)</f>
        <v>14613809.83</v>
      </c>
      <c r="G37" s="79">
        <f>SUM(G30:G36)</f>
        <v>16145225.75261263</v>
      </c>
      <c r="H37" s="79">
        <f t="shared" si="8"/>
        <v>-1531415.9226126298</v>
      </c>
      <c r="I37" s="80">
        <f t="shared" si="9"/>
        <v>-9.4852555552827456E-2</v>
      </c>
      <c r="J37" s="79">
        <f>SUM(J30:J36)</f>
        <v>17002161.419999998</v>
      </c>
      <c r="K37" s="79">
        <f t="shared" si="10"/>
        <v>-2388351.589999998</v>
      </c>
      <c r="L37" s="80">
        <f t="shared" si="11"/>
        <v>-0.14047340988014212</v>
      </c>
      <c r="N37" s="81">
        <f>SUM(N30:N36)</f>
        <v>377010.35590000002</v>
      </c>
      <c r="O37" s="81">
        <f>SUM(O30:O36)</f>
        <v>510292.40259999997</v>
      </c>
      <c r="P37" s="81">
        <f t="shared" si="12"/>
        <v>-133282.04669999995</v>
      </c>
      <c r="Q37" s="80">
        <f t="shared" si="13"/>
        <v>-0.26118759758309584</v>
      </c>
      <c r="R37" s="81">
        <f>SUM(R30:R36)</f>
        <v>386802.01759999996</v>
      </c>
      <c r="S37" s="81">
        <f t="shared" si="14"/>
        <v>-9791.6616999999387</v>
      </c>
      <c r="T37" s="80">
        <f t="shared" si="15"/>
        <v>-2.5314401824360955E-2</v>
      </c>
    </row>
    <row r="40" spans="1:20" ht="15" customHeight="1"/>
    <row r="41" spans="1:20" ht="14.25" customHeight="1">
      <c r="F41" s="311" t="s">
        <v>144</v>
      </c>
      <c r="G41" s="311"/>
      <c r="H41" s="311"/>
      <c r="I41" s="311"/>
      <c r="J41" s="311"/>
      <c r="K41" s="311"/>
      <c r="L41" s="311"/>
      <c r="M41" s="311"/>
    </row>
    <row r="42" spans="1:20" ht="15" customHeight="1">
      <c r="C42" s="64" t="s">
        <v>64</v>
      </c>
      <c r="F42" s="312" t="s">
        <v>2</v>
      </c>
      <c r="G42" s="312"/>
      <c r="H42" s="312"/>
      <c r="I42" s="312"/>
      <c r="J42" s="313" t="s">
        <v>4</v>
      </c>
      <c r="K42" s="313"/>
      <c r="L42" s="313"/>
      <c r="M42" s="313"/>
    </row>
    <row r="43" spans="1:20" ht="14.25" customHeight="1">
      <c r="A43" s="67" t="s">
        <v>65</v>
      </c>
      <c r="B43" s="82" t="s">
        <v>66</v>
      </c>
      <c r="C43" s="82" t="s">
        <v>67</v>
      </c>
      <c r="D43" s="82" t="s">
        <v>68</v>
      </c>
      <c r="E43" s="83" t="s">
        <v>69</v>
      </c>
      <c r="F43" s="84" t="s">
        <v>53</v>
      </c>
      <c r="G43" s="85">
        <v>2020</v>
      </c>
      <c r="H43" s="86" t="s">
        <v>70</v>
      </c>
      <c r="I43" s="9" t="s">
        <v>9</v>
      </c>
      <c r="J43" s="19" t="s">
        <v>53</v>
      </c>
      <c r="K43" s="87">
        <v>2020</v>
      </c>
      <c r="L43" s="88" t="s">
        <v>70</v>
      </c>
      <c r="M43" s="89" t="s">
        <v>9</v>
      </c>
    </row>
    <row r="44" spans="1:20" ht="14.25" customHeight="1">
      <c r="A44" s="90">
        <v>1</v>
      </c>
      <c r="B44" s="104" t="s">
        <v>87</v>
      </c>
      <c r="C44" s="104" t="s">
        <v>88</v>
      </c>
      <c r="D44" s="104" t="s">
        <v>73</v>
      </c>
      <c r="E44" s="105" t="s">
        <v>74</v>
      </c>
      <c r="F44" s="59">
        <v>787.5</v>
      </c>
      <c r="G44" s="59">
        <v>740</v>
      </c>
      <c r="H44" s="59">
        <f t="shared" ref="H44:H55" si="16">G44-F44</f>
        <v>-47.5</v>
      </c>
      <c r="I44" s="91">
        <f t="shared" ref="I44:I55" si="17">IFERROR(G44/F44-1,0)</f>
        <v>-6.0317460317460325E-2</v>
      </c>
      <c r="J44" s="92">
        <v>104268.9375</v>
      </c>
      <c r="K44" s="92">
        <v>116257.62</v>
      </c>
      <c r="L44" s="92">
        <f t="shared" ref="L44:L55" si="18">K44-J44</f>
        <v>11988.682499999995</v>
      </c>
      <c r="M44" s="91">
        <f t="shared" ref="M44:M55" si="19">IFERROR(K44/J44-1,0)</f>
        <v>0.11497846614194174</v>
      </c>
    </row>
    <row r="45" spans="1:20" ht="14.25" customHeight="1">
      <c r="A45" s="90">
        <v>1</v>
      </c>
      <c r="B45" s="104" t="s">
        <v>87</v>
      </c>
      <c r="C45" s="104" t="s">
        <v>88</v>
      </c>
      <c r="D45" s="104" t="s">
        <v>77</v>
      </c>
      <c r="E45" s="105" t="s">
        <v>78</v>
      </c>
      <c r="F45" s="59">
        <v>11.55</v>
      </c>
      <c r="G45" s="59">
        <v>0</v>
      </c>
      <c r="H45" s="59">
        <f t="shared" si="16"/>
        <v>-11.55</v>
      </c>
      <c r="I45" s="91">
        <f t="shared" si="17"/>
        <v>-1</v>
      </c>
      <c r="J45" s="92">
        <v>3376.1747249999999</v>
      </c>
      <c r="K45" s="92">
        <v>0</v>
      </c>
      <c r="L45" s="92">
        <f t="shared" si="18"/>
        <v>-3376.1747249999999</v>
      </c>
      <c r="M45" s="91">
        <f t="shared" si="19"/>
        <v>-1</v>
      </c>
    </row>
    <row r="46" spans="1:20" ht="14.25" customHeight="1">
      <c r="A46" s="90">
        <v>1</v>
      </c>
      <c r="B46" s="104" t="s">
        <v>85</v>
      </c>
      <c r="C46" s="104" t="s">
        <v>86</v>
      </c>
      <c r="D46" s="104" t="s">
        <v>77</v>
      </c>
      <c r="E46" s="105" t="s">
        <v>78</v>
      </c>
      <c r="F46" s="59">
        <v>21</v>
      </c>
      <c r="G46" s="59">
        <v>0</v>
      </c>
      <c r="H46" s="59">
        <f t="shared" si="16"/>
        <v>-21</v>
      </c>
      <c r="I46" s="91">
        <f t="shared" si="17"/>
        <v>-1</v>
      </c>
      <c r="J46" s="92">
        <v>6288.2190000000001</v>
      </c>
      <c r="K46" s="92">
        <v>0</v>
      </c>
      <c r="L46" s="92">
        <f t="shared" si="18"/>
        <v>-6288.2190000000001</v>
      </c>
      <c r="M46" s="91">
        <f t="shared" si="19"/>
        <v>-1</v>
      </c>
    </row>
    <row r="47" spans="1:20" ht="14.25" customHeight="1">
      <c r="A47" s="90">
        <v>1</v>
      </c>
      <c r="B47" s="104" t="s">
        <v>133</v>
      </c>
      <c r="C47" s="104" t="s">
        <v>134</v>
      </c>
      <c r="D47" s="104" t="s">
        <v>77</v>
      </c>
      <c r="E47" s="105" t="s">
        <v>78</v>
      </c>
      <c r="F47" s="59">
        <v>14.7</v>
      </c>
      <c r="G47" s="59">
        <v>0</v>
      </c>
      <c r="H47" s="59">
        <f t="shared" si="16"/>
        <v>-14.7</v>
      </c>
      <c r="I47" s="91">
        <f t="shared" si="17"/>
        <v>-1</v>
      </c>
      <c r="J47" s="92">
        <v>4162.2021000000004</v>
      </c>
      <c r="K47" s="92">
        <v>0</v>
      </c>
      <c r="L47" s="92">
        <f t="shared" si="18"/>
        <v>-4162.2021000000004</v>
      </c>
      <c r="M47" s="91">
        <f t="shared" si="19"/>
        <v>-1</v>
      </c>
    </row>
    <row r="48" spans="1:20" ht="14.25" customHeight="1">
      <c r="A48" s="90">
        <v>1</v>
      </c>
      <c r="B48" s="104" t="s">
        <v>79</v>
      </c>
      <c r="C48" s="104" t="s">
        <v>80</v>
      </c>
      <c r="D48" s="104" t="s">
        <v>77</v>
      </c>
      <c r="E48" s="105" t="s">
        <v>78</v>
      </c>
      <c r="F48" s="59">
        <v>105</v>
      </c>
      <c r="G48" s="59">
        <v>0</v>
      </c>
      <c r="H48" s="59">
        <f t="shared" si="16"/>
        <v>-105</v>
      </c>
      <c r="I48" s="91">
        <f t="shared" si="17"/>
        <v>-1</v>
      </c>
      <c r="J48" s="92">
        <v>30692.497500000001</v>
      </c>
      <c r="K48" s="92">
        <v>0</v>
      </c>
      <c r="L48" s="92">
        <f t="shared" si="18"/>
        <v>-30692.497500000001</v>
      </c>
      <c r="M48" s="91">
        <f t="shared" si="19"/>
        <v>-1</v>
      </c>
    </row>
    <row r="49" spans="1:13" ht="14.25" customHeight="1">
      <c r="A49" s="90">
        <v>1</v>
      </c>
      <c r="B49" s="104" t="s">
        <v>89</v>
      </c>
      <c r="C49" s="104" t="s">
        <v>90</v>
      </c>
      <c r="D49" s="104" t="s">
        <v>77</v>
      </c>
      <c r="E49" s="105" t="s">
        <v>78</v>
      </c>
      <c r="F49" s="59">
        <v>0</v>
      </c>
      <c r="G49" s="59">
        <v>5</v>
      </c>
      <c r="H49" s="59">
        <f t="shared" si="16"/>
        <v>5</v>
      </c>
      <c r="I49" s="91">
        <f t="shared" si="17"/>
        <v>0</v>
      </c>
      <c r="J49" s="92">
        <v>0</v>
      </c>
      <c r="K49" s="92">
        <v>1795.22</v>
      </c>
      <c r="L49" s="92">
        <f t="shared" si="18"/>
        <v>1795.22</v>
      </c>
      <c r="M49" s="91">
        <f t="shared" si="19"/>
        <v>0</v>
      </c>
    </row>
    <row r="50" spans="1:13" ht="14.25" customHeight="1">
      <c r="A50" s="90">
        <v>1</v>
      </c>
      <c r="B50" s="104" t="s">
        <v>75</v>
      </c>
      <c r="C50" s="104" t="s">
        <v>76</v>
      </c>
      <c r="D50" s="104" t="s">
        <v>77</v>
      </c>
      <c r="E50" s="105" t="s">
        <v>78</v>
      </c>
      <c r="F50" s="59">
        <v>147</v>
      </c>
      <c r="G50" s="59">
        <v>250</v>
      </c>
      <c r="H50" s="59">
        <f t="shared" si="16"/>
        <v>103</v>
      </c>
      <c r="I50" s="91">
        <f t="shared" si="17"/>
        <v>0.70068027210884343</v>
      </c>
      <c r="J50" s="92">
        <v>37429.875</v>
      </c>
      <c r="K50" s="92">
        <v>76281.75</v>
      </c>
      <c r="L50" s="92">
        <f t="shared" si="18"/>
        <v>38851.875</v>
      </c>
      <c r="M50" s="91">
        <f t="shared" si="19"/>
        <v>1.0379910432508792</v>
      </c>
    </row>
    <row r="51" spans="1:13" ht="14.25" customHeight="1">
      <c r="A51" s="90">
        <v>1</v>
      </c>
      <c r="B51" s="104" t="s">
        <v>81</v>
      </c>
      <c r="C51" s="104" t="s">
        <v>82</v>
      </c>
      <c r="D51" s="104" t="s">
        <v>77</v>
      </c>
      <c r="E51" s="105" t="s">
        <v>78</v>
      </c>
      <c r="F51" s="59">
        <v>42</v>
      </c>
      <c r="G51" s="59">
        <v>20</v>
      </c>
      <c r="H51" s="59">
        <f t="shared" si="16"/>
        <v>-22</v>
      </c>
      <c r="I51" s="91">
        <f t="shared" si="17"/>
        <v>-0.52380952380952384</v>
      </c>
      <c r="J51" s="92">
        <v>12276.999</v>
      </c>
      <c r="K51" s="92">
        <v>7134.33</v>
      </c>
      <c r="L51" s="92">
        <f t="shared" si="18"/>
        <v>-5142.6689999999999</v>
      </c>
      <c r="M51" s="91">
        <f t="shared" si="19"/>
        <v>-0.4188864884651371</v>
      </c>
    </row>
    <row r="52" spans="1:13" ht="14.25" customHeight="1">
      <c r="A52" s="90">
        <v>1</v>
      </c>
      <c r="B52" s="106" t="s">
        <v>135</v>
      </c>
      <c r="C52" s="106" t="s">
        <v>136</v>
      </c>
      <c r="D52" s="106" t="s">
        <v>77</v>
      </c>
      <c r="E52" s="107" t="s">
        <v>78</v>
      </c>
      <c r="F52" s="59">
        <v>10.5</v>
      </c>
      <c r="G52" s="59">
        <v>0</v>
      </c>
      <c r="H52" s="59">
        <f t="shared" si="16"/>
        <v>-10.5</v>
      </c>
      <c r="I52" s="91">
        <f t="shared" si="17"/>
        <v>-1</v>
      </c>
      <c r="J52" s="92">
        <v>3069.2497499999999</v>
      </c>
      <c r="K52" s="92">
        <v>0</v>
      </c>
      <c r="L52" s="92">
        <f t="shared" si="18"/>
        <v>-3069.2497499999999</v>
      </c>
      <c r="M52" s="91">
        <f t="shared" si="19"/>
        <v>-1</v>
      </c>
    </row>
    <row r="53" spans="1:13" ht="14.25" customHeight="1">
      <c r="A53" s="90">
        <v>1</v>
      </c>
      <c r="B53" s="106" t="s">
        <v>83</v>
      </c>
      <c r="C53" s="106" t="s">
        <v>84</v>
      </c>
      <c r="D53" s="106" t="s">
        <v>77</v>
      </c>
      <c r="E53" s="107" t="s">
        <v>78</v>
      </c>
      <c r="F53" s="59">
        <v>21</v>
      </c>
      <c r="G53" s="59">
        <v>0</v>
      </c>
      <c r="H53" s="59">
        <f t="shared" si="16"/>
        <v>-21</v>
      </c>
      <c r="I53" s="91">
        <f t="shared" si="17"/>
        <v>-1</v>
      </c>
      <c r="J53" s="92">
        <v>6138.4994999999999</v>
      </c>
      <c r="K53" s="92">
        <v>0</v>
      </c>
      <c r="L53" s="92">
        <f t="shared" si="18"/>
        <v>-6138.4994999999999</v>
      </c>
      <c r="M53" s="91">
        <f t="shared" si="19"/>
        <v>-1</v>
      </c>
    </row>
    <row r="54" spans="1:13" ht="14.25" customHeight="1">
      <c r="A54" s="90">
        <v>1</v>
      </c>
      <c r="B54" s="106" t="s">
        <v>71</v>
      </c>
      <c r="C54" s="106" t="s">
        <v>72</v>
      </c>
      <c r="D54" s="106" t="s">
        <v>73</v>
      </c>
      <c r="E54" s="107" t="s">
        <v>74</v>
      </c>
      <c r="F54" s="59">
        <v>131.25</v>
      </c>
      <c r="G54" s="59">
        <v>40</v>
      </c>
      <c r="H54" s="59">
        <f t="shared" si="16"/>
        <v>-91.25</v>
      </c>
      <c r="I54" s="91">
        <f t="shared" si="17"/>
        <v>-0.69523809523809521</v>
      </c>
      <c r="J54" s="92">
        <v>16977.121875000001</v>
      </c>
      <c r="K54" s="92">
        <v>6254.24</v>
      </c>
      <c r="L54" s="92">
        <f t="shared" si="18"/>
        <v>-10722.881875000001</v>
      </c>
      <c r="M54" s="91">
        <f t="shared" si="19"/>
        <v>-0.63160775742502007</v>
      </c>
    </row>
    <row r="55" spans="1:13" ht="14.25" customHeight="1">
      <c r="A55" s="90">
        <v>1</v>
      </c>
      <c r="B55" s="106" t="s">
        <v>83</v>
      </c>
      <c r="C55" s="106" t="s">
        <v>84</v>
      </c>
      <c r="D55" s="106" t="s">
        <v>91</v>
      </c>
      <c r="E55" s="107" t="s">
        <v>92</v>
      </c>
      <c r="F55" s="59">
        <v>0</v>
      </c>
      <c r="G55" s="59">
        <v>10</v>
      </c>
      <c r="H55" s="59">
        <f t="shared" si="16"/>
        <v>10</v>
      </c>
      <c r="I55" s="91">
        <f t="shared" si="17"/>
        <v>0</v>
      </c>
      <c r="J55" s="92">
        <v>0</v>
      </c>
      <c r="K55" s="92">
        <v>3450.93</v>
      </c>
      <c r="L55" s="92">
        <f t="shared" si="18"/>
        <v>3450.93</v>
      </c>
      <c r="M55" s="91">
        <f t="shared" si="19"/>
        <v>0</v>
      </c>
    </row>
    <row r="56" spans="1:13" ht="14.25" customHeight="1">
      <c r="F56" s="81">
        <f>SUM(F44:F55)</f>
        <v>1291.5</v>
      </c>
      <c r="G56" s="81">
        <f>SUM(G44:G55)</f>
        <v>1065</v>
      </c>
      <c r="H56" s="81">
        <f>SUM(H44:H55)</f>
        <v>-226.5</v>
      </c>
      <c r="I56" s="96">
        <f>H56/F56</f>
        <v>-0.17537746806039489</v>
      </c>
      <c r="J56" s="97">
        <f>SUM(J44:J55)</f>
        <v>224679.77595000001</v>
      </c>
      <c r="K56" s="97">
        <f>SUM(K44:K55)</f>
        <v>211174.08999999997</v>
      </c>
      <c r="L56" s="97">
        <f>SUM(L44:L55)</f>
        <v>-13505.685950000006</v>
      </c>
      <c r="M56" s="96">
        <f>L56/J56</f>
        <v>-6.0110821692316206E-2</v>
      </c>
    </row>
    <row r="59" spans="1:13" ht="15" customHeight="1"/>
    <row r="60" spans="1:13" ht="14.25" customHeight="1">
      <c r="F60" s="311" t="s">
        <v>144</v>
      </c>
      <c r="G60" s="311"/>
      <c r="H60" s="311"/>
      <c r="I60" s="311"/>
      <c r="J60" s="311"/>
      <c r="K60" s="311"/>
      <c r="L60" s="311"/>
      <c r="M60" s="311"/>
    </row>
    <row r="61" spans="1:13" ht="15" customHeight="1">
      <c r="C61" s="64" t="s">
        <v>93</v>
      </c>
      <c r="F61" s="312" t="s">
        <v>2</v>
      </c>
      <c r="G61" s="312"/>
      <c r="H61" s="312"/>
      <c r="I61" s="312"/>
      <c r="J61" s="313" t="s">
        <v>4</v>
      </c>
      <c r="K61" s="313"/>
      <c r="L61" s="313"/>
      <c r="M61" s="313"/>
    </row>
    <row r="62" spans="1:13" ht="14.25" customHeight="1">
      <c r="A62" s="67" t="s">
        <v>65</v>
      </c>
      <c r="B62" s="82" t="s">
        <v>66</v>
      </c>
      <c r="C62" s="82" t="s">
        <v>67</v>
      </c>
      <c r="D62" s="82" t="s">
        <v>68</v>
      </c>
      <c r="E62" s="83" t="s">
        <v>69</v>
      </c>
      <c r="F62" s="84" t="s">
        <v>53</v>
      </c>
      <c r="G62" s="85">
        <v>2020</v>
      </c>
      <c r="H62" s="86" t="s">
        <v>70</v>
      </c>
      <c r="I62" s="9" t="s">
        <v>9</v>
      </c>
      <c r="J62" s="19" t="s">
        <v>53</v>
      </c>
      <c r="K62" s="87">
        <v>2020</v>
      </c>
      <c r="L62" s="88" t="s">
        <v>70</v>
      </c>
      <c r="M62" s="89" t="s">
        <v>9</v>
      </c>
    </row>
    <row r="63" spans="1:13" ht="14.25" customHeight="1">
      <c r="A63" s="90">
        <v>2</v>
      </c>
      <c r="B63" s="55" t="s">
        <v>94</v>
      </c>
      <c r="C63" s="55" t="s">
        <v>95</v>
      </c>
      <c r="D63" s="55" t="s">
        <v>77</v>
      </c>
      <c r="E63" s="55" t="s">
        <v>78</v>
      </c>
      <c r="F63" s="98">
        <v>20</v>
      </c>
      <c r="G63" s="99">
        <v>0</v>
      </c>
      <c r="H63" s="99">
        <f>G63-F63</f>
        <v>-20</v>
      </c>
      <c r="I63" s="100">
        <f>IFERROR(G63/F63-1,0)</f>
        <v>-1</v>
      </c>
      <c r="J63" s="101">
        <v>5846.19</v>
      </c>
      <c r="K63" s="102">
        <v>0</v>
      </c>
      <c r="L63" s="102">
        <f>K63-J63</f>
        <v>-5846.19</v>
      </c>
      <c r="M63" s="103">
        <f>IFERROR(K63/J63-1,0)</f>
        <v>-1</v>
      </c>
    </row>
    <row r="64" spans="1:13" ht="14.25" customHeight="1">
      <c r="A64" s="90">
        <v>2</v>
      </c>
      <c r="B64" s="55" t="s">
        <v>139</v>
      </c>
      <c r="C64" s="55" t="s">
        <v>140</v>
      </c>
      <c r="D64" s="55" t="s">
        <v>73</v>
      </c>
      <c r="E64" s="55" t="s">
        <v>105</v>
      </c>
      <c r="F64" s="98">
        <v>0</v>
      </c>
      <c r="G64" s="99">
        <v>20</v>
      </c>
      <c r="H64" s="99">
        <f>G64-F64</f>
        <v>20</v>
      </c>
      <c r="I64" s="100">
        <f>IFERROR(G64/F64-1,0)</f>
        <v>0</v>
      </c>
      <c r="J64" s="101">
        <v>0</v>
      </c>
      <c r="K64" s="102">
        <v>3147.27</v>
      </c>
      <c r="L64" s="102">
        <f>K64-J64</f>
        <v>3147.27</v>
      </c>
      <c r="M64" s="103">
        <f>IFERROR(K64/J64-1,0)</f>
        <v>0</v>
      </c>
    </row>
    <row r="65" spans="1:13" ht="14.25" customHeight="1">
      <c r="A65" s="90">
        <v>2</v>
      </c>
      <c r="B65" s="55"/>
      <c r="C65" s="55"/>
      <c r="D65" s="55"/>
      <c r="E65" s="55"/>
      <c r="F65" s="98">
        <v>0</v>
      </c>
      <c r="G65" s="99">
        <v>0</v>
      </c>
      <c r="H65" s="99">
        <f>G65-F65</f>
        <v>0</v>
      </c>
      <c r="I65" s="100">
        <f>IFERROR(G65/F65-1,0)</f>
        <v>0</v>
      </c>
      <c r="J65" s="101">
        <v>0</v>
      </c>
      <c r="K65" s="102"/>
      <c r="L65" s="102">
        <f>K65-J65</f>
        <v>0</v>
      </c>
      <c r="M65" s="103">
        <f>IFERROR(K65/J65-1,0)</f>
        <v>0</v>
      </c>
    </row>
    <row r="66" spans="1:13" ht="14.25" customHeight="1">
      <c r="F66" s="81">
        <f>SUM(F63:F65)</f>
        <v>20</v>
      </c>
      <c r="G66" s="81">
        <f>SUM(G63:G65)</f>
        <v>20</v>
      </c>
      <c r="H66" s="81">
        <f>SUM(H63:H65)</f>
        <v>0</v>
      </c>
      <c r="I66" s="96">
        <f>H66/F66</f>
        <v>0</v>
      </c>
      <c r="J66" s="97">
        <f>SUM(J63:J65)</f>
        <v>5846.19</v>
      </c>
      <c r="K66" s="97">
        <f>SUM(K63:K65)</f>
        <v>3147.27</v>
      </c>
      <c r="L66" s="97">
        <f>SUM(L63:L65)</f>
        <v>-2698.9199999999996</v>
      </c>
      <c r="M66" s="96">
        <f>L66/J66</f>
        <v>-0.46165451345235098</v>
      </c>
    </row>
    <row r="69" spans="1:13" ht="15" customHeight="1"/>
    <row r="70" spans="1:13" ht="14.25" customHeight="1">
      <c r="F70" s="311" t="s">
        <v>144</v>
      </c>
      <c r="G70" s="311"/>
      <c r="H70" s="311"/>
      <c r="I70" s="311"/>
      <c r="J70" s="311"/>
      <c r="K70" s="311"/>
      <c r="L70" s="311"/>
      <c r="M70" s="311"/>
    </row>
    <row r="71" spans="1:13" ht="15" customHeight="1">
      <c r="C71" s="64" t="s">
        <v>96</v>
      </c>
      <c r="F71" s="312" t="s">
        <v>2</v>
      </c>
      <c r="G71" s="312"/>
      <c r="H71" s="312"/>
      <c r="I71" s="312"/>
      <c r="J71" s="313" t="s">
        <v>4</v>
      </c>
      <c r="K71" s="313"/>
      <c r="L71" s="313"/>
      <c r="M71" s="313"/>
    </row>
    <row r="72" spans="1:13" ht="14.25" customHeight="1">
      <c r="A72" s="67" t="s">
        <v>65</v>
      </c>
      <c r="B72" s="82" t="s">
        <v>66</v>
      </c>
      <c r="C72" s="82" t="s">
        <v>67</v>
      </c>
      <c r="D72" s="82" t="s">
        <v>68</v>
      </c>
      <c r="E72" s="83" t="s">
        <v>69</v>
      </c>
      <c r="F72" s="84" t="s">
        <v>53</v>
      </c>
      <c r="G72" s="85">
        <v>2020</v>
      </c>
      <c r="H72" s="86" t="s">
        <v>70</v>
      </c>
      <c r="I72" s="9" t="s">
        <v>9</v>
      </c>
      <c r="J72" s="19" t="s">
        <v>53</v>
      </c>
      <c r="K72" s="87">
        <v>2020</v>
      </c>
      <c r="L72" s="88" t="s">
        <v>70</v>
      </c>
      <c r="M72" s="89" t="s">
        <v>9</v>
      </c>
    </row>
    <row r="73" spans="1:13" ht="14.25" customHeight="1">
      <c r="A73" s="90">
        <v>3</v>
      </c>
      <c r="B73" s="55" t="s">
        <v>106</v>
      </c>
      <c r="C73" s="55" t="s">
        <v>107</v>
      </c>
      <c r="D73" s="55" t="s">
        <v>77</v>
      </c>
      <c r="E73" s="55" t="s">
        <v>78</v>
      </c>
      <c r="F73" s="59">
        <v>5</v>
      </c>
      <c r="G73" s="59">
        <v>0</v>
      </c>
      <c r="H73" s="59">
        <f>G73-F73</f>
        <v>-5</v>
      </c>
      <c r="I73" s="91">
        <f>IFERROR(G73/F73-1,0)</f>
        <v>-1</v>
      </c>
      <c r="J73" s="92">
        <v>1461.5474999999999</v>
      </c>
      <c r="K73" s="92">
        <v>0</v>
      </c>
      <c r="L73" s="92">
        <f>K73-J73</f>
        <v>-1461.5474999999999</v>
      </c>
      <c r="M73" s="91">
        <f>IFERROR(K73/J73-1,0)</f>
        <v>-1</v>
      </c>
    </row>
    <row r="74" spans="1:13" ht="14.25" customHeight="1">
      <c r="A74" s="90">
        <v>3</v>
      </c>
      <c r="B74" s="55" t="s">
        <v>99</v>
      </c>
      <c r="C74" s="55" t="s">
        <v>100</v>
      </c>
      <c r="D74" s="55" t="s">
        <v>77</v>
      </c>
      <c r="E74" s="55" t="s">
        <v>78</v>
      </c>
      <c r="F74" s="59">
        <v>30</v>
      </c>
      <c r="G74" s="59">
        <v>20</v>
      </c>
      <c r="H74" s="59">
        <f>G74-F74</f>
        <v>-10</v>
      </c>
      <c r="I74" s="91">
        <f>IFERROR(G74/F74-1,0)</f>
        <v>-0.33333333333333337</v>
      </c>
      <c r="J74" s="92">
        <v>8769.2849999999999</v>
      </c>
      <c r="K74" s="92">
        <v>6999.41</v>
      </c>
      <c r="L74" s="92">
        <f>K74-J74</f>
        <v>-1769.875</v>
      </c>
      <c r="M74" s="91">
        <f>IFERROR(K74/J74-1,0)</f>
        <v>-0.20182660273899189</v>
      </c>
    </row>
    <row r="75" spans="1:13" ht="14.25" customHeight="1">
      <c r="A75" s="90">
        <v>3</v>
      </c>
      <c r="B75" s="55" t="s">
        <v>103</v>
      </c>
      <c r="C75" s="55" t="s">
        <v>104</v>
      </c>
      <c r="D75" s="55" t="s">
        <v>73</v>
      </c>
      <c r="E75" s="55" t="s">
        <v>105</v>
      </c>
      <c r="F75" s="59">
        <v>20</v>
      </c>
      <c r="G75" s="59">
        <v>0</v>
      </c>
      <c r="H75" s="59">
        <f>G75-F75</f>
        <v>-20</v>
      </c>
      <c r="I75" s="91">
        <f>IFERROR(G75/F75-1,0)</f>
        <v>-1</v>
      </c>
      <c r="J75" s="92">
        <v>2648.1</v>
      </c>
      <c r="K75" s="92">
        <v>0</v>
      </c>
      <c r="L75" s="92">
        <f>K75-J75</f>
        <v>-2648.1</v>
      </c>
      <c r="M75" s="91">
        <f>IFERROR(K75/J75-1,0)</f>
        <v>-1</v>
      </c>
    </row>
    <row r="76" spans="1:13" ht="14.25" customHeight="1">
      <c r="F76" s="81">
        <f>SUM(F73:F75)</f>
        <v>55</v>
      </c>
      <c r="G76" s="81">
        <f>SUM(G73:G75)</f>
        <v>20</v>
      </c>
      <c r="H76" s="81">
        <f>SUM(H73:H75)</f>
        <v>-35</v>
      </c>
      <c r="I76" s="96">
        <f>H76/F76</f>
        <v>-0.63636363636363635</v>
      </c>
      <c r="J76" s="97">
        <f>SUM(J73:J75)</f>
        <v>12878.932500000001</v>
      </c>
      <c r="K76" s="97">
        <f>SUM(K73:K75)</f>
        <v>6999.41</v>
      </c>
      <c r="L76" s="97">
        <f>SUM(L73:L75)</f>
        <v>-5879.5224999999991</v>
      </c>
      <c r="M76" s="96">
        <f>L76/J76</f>
        <v>-0.45652250293259933</v>
      </c>
    </row>
    <row r="79" spans="1:13" ht="15" customHeight="1"/>
    <row r="80" spans="1:13" ht="14.25" customHeight="1">
      <c r="F80" s="311" t="s">
        <v>144</v>
      </c>
      <c r="G80" s="311"/>
      <c r="H80" s="311"/>
      <c r="I80" s="311"/>
      <c r="J80" s="311"/>
      <c r="K80" s="311"/>
      <c r="L80" s="311"/>
      <c r="M80" s="311"/>
    </row>
    <row r="81" spans="1:13" ht="15" customHeight="1">
      <c r="C81" s="64" t="s">
        <v>41</v>
      </c>
      <c r="F81" s="312" t="s">
        <v>2</v>
      </c>
      <c r="G81" s="312"/>
      <c r="H81" s="312"/>
      <c r="I81" s="312"/>
      <c r="J81" s="313" t="s">
        <v>4</v>
      </c>
      <c r="K81" s="313"/>
      <c r="L81" s="313"/>
      <c r="M81" s="313"/>
    </row>
    <row r="82" spans="1:13" ht="14.25" customHeight="1">
      <c r="A82" s="67" t="s">
        <v>65</v>
      </c>
      <c r="B82" s="82" t="s">
        <v>66</v>
      </c>
      <c r="C82" s="82" t="s">
        <v>67</v>
      </c>
      <c r="D82" s="82" t="s">
        <v>68</v>
      </c>
      <c r="E82" s="83" t="s">
        <v>69</v>
      </c>
      <c r="F82" s="84" t="s">
        <v>53</v>
      </c>
      <c r="G82" s="85">
        <v>2020</v>
      </c>
      <c r="H82" s="86" t="s">
        <v>70</v>
      </c>
      <c r="I82" s="9" t="s">
        <v>9</v>
      </c>
      <c r="J82" s="19" t="s">
        <v>53</v>
      </c>
      <c r="K82" s="87">
        <v>2020</v>
      </c>
      <c r="L82" s="88" t="s">
        <v>70</v>
      </c>
      <c r="M82" s="89" t="s">
        <v>9</v>
      </c>
    </row>
    <row r="83" spans="1:13" ht="14.25" customHeight="1">
      <c r="A83" s="90">
        <v>6</v>
      </c>
      <c r="B83" s="55" t="s">
        <v>120</v>
      </c>
      <c r="C83" s="55" t="s">
        <v>121</v>
      </c>
      <c r="D83" s="55" t="s">
        <v>77</v>
      </c>
      <c r="E83" s="55" t="s">
        <v>78</v>
      </c>
      <c r="F83" s="59">
        <v>5</v>
      </c>
      <c r="G83" s="59">
        <v>5</v>
      </c>
      <c r="H83" s="59">
        <f t="shared" ref="H83:H89" si="20">G83-F83</f>
        <v>0</v>
      </c>
      <c r="I83" s="91">
        <f t="shared" ref="I83:I89" si="21">IFERROR(G83/F83-1,0)</f>
        <v>0</v>
      </c>
      <c r="J83" s="92">
        <v>1461.5474999999999</v>
      </c>
      <c r="K83" s="92">
        <v>1714.91</v>
      </c>
      <c r="L83" s="92">
        <f t="shared" ref="L83:L89" si="22">K83-J83</f>
        <v>253.36250000000018</v>
      </c>
      <c r="M83" s="91">
        <f t="shared" ref="M83:M89" si="23">IFERROR(K83/J83-1,0)</f>
        <v>0.17335221742707652</v>
      </c>
    </row>
    <row r="84" spans="1:13" ht="14.25" customHeight="1">
      <c r="A84" s="90">
        <v>6</v>
      </c>
      <c r="B84" s="55" t="s">
        <v>122</v>
      </c>
      <c r="C84" s="55" t="s">
        <v>123</v>
      </c>
      <c r="D84" s="55" t="s">
        <v>77</v>
      </c>
      <c r="E84" s="55" t="s">
        <v>78</v>
      </c>
      <c r="F84" s="59">
        <v>5</v>
      </c>
      <c r="G84" s="59">
        <v>5</v>
      </c>
      <c r="H84" s="59">
        <f t="shared" si="20"/>
        <v>0</v>
      </c>
      <c r="I84" s="91">
        <f t="shared" si="21"/>
        <v>0</v>
      </c>
      <c r="J84" s="92">
        <v>1427.9369999999999</v>
      </c>
      <c r="K84" s="92">
        <v>1675.47</v>
      </c>
      <c r="L84" s="92">
        <f t="shared" si="22"/>
        <v>247.53300000000013</v>
      </c>
      <c r="M84" s="91">
        <f t="shared" si="23"/>
        <v>0.17335008477264768</v>
      </c>
    </row>
    <row r="85" spans="1:13" ht="14.25" customHeight="1">
      <c r="A85" s="90">
        <v>6</v>
      </c>
      <c r="B85" s="55" t="s">
        <v>112</v>
      </c>
      <c r="C85" s="55" t="s">
        <v>113</v>
      </c>
      <c r="D85" s="55" t="s">
        <v>77</v>
      </c>
      <c r="E85" s="55" t="s">
        <v>78</v>
      </c>
      <c r="F85" s="59">
        <v>100</v>
      </c>
      <c r="G85" s="59">
        <v>0</v>
      </c>
      <c r="H85" s="59">
        <f t="shared" si="20"/>
        <v>-100</v>
      </c>
      <c r="I85" s="91">
        <f t="shared" si="21"/>
        <v>-1</v>
      </c>
      <c r="J85" s="92">
        <v>29230.95</v>
      </c>
      <c r="K85" s="92">
        <v>0</v>
      </c>
      <c r="L85" s="92">
        <f t="shared" si="22"/>
        <v>-29230.95</v>
      </c>
      <c r="M85" s="91">
        <f t="shared" si="23"/>
        <v>-1</v>
      </c>
    </row>
    <row r="86" spans="1:13" ht="14.25" customHeight="1">
      <c r="A86" s="90">
        <v>6</v>
      </c>
      <c r="B86" s="55" t="s">
        <v>116</v>
      </c>
      <c r="C86" s="55" t="s">
        <v>117</v>
      </c>
      <c r="D86" s="55" t="s">
        <v>77</v>
      </c>
      <c r="E86" s="55" t="s">
        <v>78</v>
      </c>
      <c r="F86" s="59">
        <v>40</v>
      </c>
      <c r="G86" s="59">
        <v>68</v>
      </c>
      <c r="H86" s="59">
        <f t="shared" si="20"/>
        <v>28</v>
      </c>
      <c r="I86" s="91">
        <f t="shared" si="21"/>
        <v>0.7</v>
      </c>
      <c r="J86" s="92">
        <v>11692.38</v>
      </c>
      <c r="K86" s="92">
        <v>23896.19</v>
      </c>
      <c r="L86" s="92">
        <f t="shared" si="22"/>
        <v>12203.81</v>
      </c>
      <c r="M86" s="91">
        <f t="shared" si="23"/>
        <v>1.0437404531840397</v>
      </c>
    </row>
    <row r="87" spans="1:13" ht="14.25" customHeight="1">
      <c r="A87" s="90">
        <v>6</v>
      </c>
      <c r="B87" s="55" t="s">
        <v>114</v>
      </c>
      <c r="C87" s="55" t="s">
        <v>115</v>
      </c>
      <c r="D87" s="55" t="s">
        <v>73</v>
      </c>
      <c r="E87" s="55" t="s">
        <v>74</v>
      </c>
      <c r="F87" s="59">
        <v>180</v>
      </c>
      <c r="G87" s="59">
        <v>80</v>
      </c>
      <c r="H87" s="59">
        <f t="shared" si="20"/>
        <v>-100</v>
      </c>
      <c r="I87" s="91">
        <f t="shared" si="21"/>
        <v>-0.55555555555555558</v>
      </c>
      <c r="J87" s="92">
        <v>22916.25</v>
      </c>
      <c r="K87" s="92">
        <v>12243.45</v>
      </c>
      <c r="L87" s="92">
        <f t="shared" si="22"/>
        <v>-10672.8</v>
      </c>
      <c r="M87" s="91">
        <f t="shared" si="23"/>
        <v>-0.46573064964817534</v>
      </c>
    </row>
    <row r="88" spans="1:13" ht="14.25" customHeight="1">
      <c r="A88" s="90">
        <v>6</v>
      </c>
      <c r="B88" s="55" t="s">
        <v>118</v>
      </c>
      <c r="C88" s="55" t="s">
        <v>119</v>
      </c>
      <c r="D88" s="55" t="s">
        <v>77</v>
      </c>
      <c r="E88" s="55" t="s">
        <v>78</v>
      </c>
      <c r="F88" s="59">
        <v>10</v>
      </c>
      <c r="G88" s="59">
        <v>0</v>
      </c>
      <c r="H88" s="59">
        <f t="shared" si="20"/>
        <v>-10</v>
      </c>
      <c r="I88" s="91">
        <f t="shared" si="21"/>
        <v>-1</v>
      </c>
      <c r="J88" s="92">
        <v>2923.0949999999998</v>
      </c>
      <c r="K88" s="92">
        <v>0</v>
      </c>
      <c r="L88" s="92">
        <f t="shared" si="22"/>
        <v>-2923.0949999999998</v>
      </c>
      <c r="M88" s="91">
        <f t="shared" si="23"/>
        <v>-1</v>
      </c>
    </row>
    <row r="89" spans="1:13" ht="14.25" customHeight="1">
      <c r="A89" s="90">
        <v>6</v>
      </c>
      <c r="B89" s="55" t="s">
        <v>116</v>
      </c>
      <c r="C89" s="55" t="s">
        <v>117</v>
      </c>
      <c r="D89" s="55" t="s">
        <v>73</v>
      </c>
      <c r="E89" s="55" t="s">
        <v>74</v>
      </c>
      <c r="F89" s="59">
        <v>250</v>
      </c>
      <c r="G89" s="59">
        <v>100</v>
      </c>
      <c r="H89" s="59">
        <f t="shared" si="20"/>
        <v>-150</v>
      </c>
      <c r="I89" s="91">
        <f t="shared" si="21"/>
        <v>-0.6</v>
      </c>
      <c r="J89" s="92">
        <v>33101.25</v>
      </c>
      <c r="K89" s="92">
        <v>16151.98</v>
      </c>
      <c r="L89" s="92">
        <f t="shared" si="22"/>
        <v>-16949.27</v>
      </c>
      <c r="M89" s="91">
        <f t="shared" si="23"/>
        <v>-0.51204320078546883</v>
      </c>
    </row>
    <row r="90" spans="1:13" ht="14.25" customHeight="1">
      <c r="F90" s="81">
        <f>SUM(F83:F89)</f>
        <v>590</v>
      </c>
      <c r="G90" s="81">
        <f>SUM(G83:G89)</f>
        <v>258</v>
      </c>
      <c r="H90" s="81">
        <f>SUM(H83:H89)</f>
        <v>-332</v>
      </c>
      <c r="I90" s="96">
        <f>H90/F90</f>
        <v>-0.56271186440677967</v>
      </c>
      <c r="J90" s="97">
        <f>SUM(J83:J89)</f>
        <v>102753.40950000001</v>
      </c>
      <c r="K90" s="97">
        <f>SUM(K83:K89)</f>
        <v>55682</v>
      </c>
      <c r="L90" s="97">
        <f>SUM(L83:L89)</f>
        <v>-47071.409500000002</v>
      </c>
      <c r="M90" s="96">
        <f>L90/J90</f>
        <v>-0.45810070662424102</v>
      </c>
    </row>
    <row r="93" spans="1:13" ht="15" customHeight="1"/>
    <row r="94" spans="1:13" ht="14.25" customHeight="1">
      <c r="F94" s="311" t="s">
        <v>144</v>
      </c>
      <c r="G94" s="311"/>
      <c r="H94" s="311"/>
      <c r="I94" s="311"/>
      <c r="J94" s="311"/>
      <c r="K94" s="311"/>
      <c r="L94" s="311"/>
      <c r="M94" s="311"/>
    </row>
    <row r="95" spans="1:13" ht="15" customHeight="1">
      <c r="C95" s="64" t="s">
        <v>126</v>
      </c>
      <c r="F95" s="312" t="s">
        <v>2</v>
      </c>
      <c r="G95" s="312"/>
      <c r="H95" s="312"/>
      <c r="I95" s="312"/>
      <c r="J95" s="313" t="s">
        <v>4</v>
      </c>
      <c r="K95" s="313"/>
      <c r="L95" s="313"/>
      <c r="M95" s="313"/>
    </row>
    <row r="96" spans="1:13" ht="14.25" customHeight="1">
      <c r="A96" s="67" t="s">
        <v>65</v>
      </c>
      <c r="B96" s="82" t="s">
        <v>66</v>
      </c>
      <c r="C96" s="82" t="s">
        <v>67</v>
      </c>
      <c r="D96" s="82" t="s">
        <v>68</v>
      </c>
      <c r="E96" s="83" t="s">
        <v>69</v>
      </c>
      <c r="F96" s="84" t="s">
        <v>53</v>
      </c>
      <c r="G96" s="85">
        <v>2020</v>
      </c>
      <c r="H96" s="86" t="s">
        <v>70</v>
      </c>
      <c r="I96" s="9" t="s">
        <v>9</v>
      </c>
      <c r="J96" s="19" t="s">
        <v>53</v>
      </c>
      <c r="K96" s="87">
        <v>2020</v>
      </c>
      <c r="L96" s="88" t="s">
        <v>70</v>
      </c>
      <c r="M96" s="89" t="s">
        <v>9</v>
      </c>
    </row>
    <row r="97" spans="1:13" ht="14.25" customHeight="1">
      <c r="A97" s="90">
        <v>7</v>
      </c>
      <c r="B97" s="55" t="s">
        <v>127</v>
      </c>
      <c r="C97" s="55" t="s">
        <v>128</v>
      </c>
      <c r="D97" s="55" t="s">
        <v>91</v>
      </c>
      <c r="E97" s="55" t="s">
        <v>92</v>
      </c>
      <c r="F97" s="59">
        <v>42</v>
      </c>
      <c r="G97" s="59">
        <v>40</v>
      </c>
      <c r="H97" s="59">
        <f>G97-F97</f>
        <v>-2</v>
      </c>
      <c r="I97" s="91">
        <f>IFERROR(G97/F97-1,0)</f>
        <v>-4.7619047619047672E-2</v>
      </c>
      <c r="J97" s="92">
        <v>12105.891</v>
      </c>
      <c r="K97" s="92">
        <v>13798.94</v>
      </c>
      <c r="L97" s="92">
        <f>K97-J97</f>
        <v>1693.0490000000009</v>
      </c>
      <c r="M97" s="91">
        <f>IFERROR(K97/J97-1,0)</f>
        <v>0.13985331604257811</v>
      </c>
    </row>
    <row r="98" spans="1:13" ht="14.25" customHeight="1">
      <c r="A98" s="90">
        <v>7</v>
      </c>
      <c r="B98" s="55" t="s">
        <v>141</v>
      </c>
      <c r="C98" s="55" t="s">
        <v>142</v>
      </c>
      <c r="D98" s="55" t="s">
        <v>77</v>
      </c>
      <c r="E98" s="55" t="s">
        <v>78</v>
      </c>
      <c r="F98" s="59">
        <v>0</v>
      </c>
      <c r="G98" s="59">
        <v>0</v>
      </c>
      <c r="H98" s="59">
        <f>G98-F98</f>
        <v>0</v>
      </c>
      <c r="I98" s="91">
        <f>IFERROR(G98/F98-1,0)</f>
        <v>0</v>
      </c>
      <c r="J98" s="92">
        <v>0</v>
      </c>
      <c r="K98" s="92">
        <v>0</v>
      </c>
      <c r="L98" s="92">
        <f>K98-J98</f>
        <v>0</v>
      </c>
      <c r="M98" s="91">
        <f>IFERROR(K98/J98-1,0)</f>
        <v>0</v>
      </c>
    </row>
    <row r="99" spans="1:13" ht="14.25" customHeight="1">
      <c r="F99" s="81">
        <f>SUM(F97:F98)</f>
        <v>42</v>
      </c>
      <c r="G99" s="81">
        <f>SUM(G97:G98)</f>
        <v>40</v>
      </c>
      <c r="H99" s="81">
        <f>SUM(H97:H98)</f>
        <v>-2</v>
      </c>
      <c r="I99" s="96">
        <f>H99/F99</f>
        <v>-4.7619047619047616E-2</v>
      </c>
      <c r="J99" s="97">
        <f>SUM(J97:J98)</f>
        <v>12105.891</v>
      </c>
      <c r="K99" s="97">
        <f>SUM(K97:K98)</f>
        <v>13798.94</v>
      </c>
      <c r="L99" s="97">
        <f>SUM(L97:L98)</f>
        <v>1693.0490000000009</v>
      </c>
      <c r="M99" s="96">
        <f>L99/J99</f>
        <v>0.13985331604257803</v>
      </c>
    </row>
  </sheetData>
  <mergeCells count="21">
    <mergeCell ref="F94:M94"/>
    <mergeCell ref="F95:I95"/>
    <mergeCell ref="J95:M95"/>
    <mergeCell ref="F70:M70"/>
    <mergeCell ref="F71:I71"/>
    <mergeCell ref="J71:M71"/>
    <mergeCell ref="F80:M80"/>
    <mergeCell ref="F81:I81"/>
    <mergeCell ref="J81:M81"/>
    <mergeCell ref="F41:M41"/>
    <mergeCell ref="F42:I42"/>
    <mergeCell ref="J42:M42"/>
    <mergeCell ref="F60:M60"/>
    <mergeCell ref="F61:I61"/>
    <mergeCell ref="J61:M61"/>
    <mergeCell ref="F3:L3"/>
    <mergeCell ref="N3:T3"/>
    <mergeCell ref="F15:L15"/>
    <mergeCell ref="N15:T15"/>
    <mergeCell ref="F28:L28"/>
    <mergeCell ref="N28:T28"/>
  </mergeCells>
  <conditionalFormatting sqref="I97:I98">
    <cfRule type="iconSet" priority="2">
      <iconSet iconSet="3Arrows">
        <cfvo type="percent" val="0"/>
        <cfvo type="num" val="0"/>
        <cfvo type="num" val="0"/>
      </iconSet>
    </cfRule>
  </conditionalFormatting>
  <conditionalFormatting sqref="M98">
    <cfRule type="iconSet" priority="3">
      <iconSet iconSet="3Arrows">
        <cfvo type="percent" val="0"/>
        <cfvo type="num" val="0"/>
        <cfvo type="num" val="0"/>
      </iconSet>
    </cfRule>
  </conditionalFormatting>
  <conditionalFormatting sqref="M64:M65">
    <cfRule type="iconSet" priority="4">
      <iconSet iconSet="3Arrows">
        <cfvo type="percent" val="0"/>
        <cfvo type="num" val="0"/>
        <cfvo type="num" val="0"/>
      </iconSet>
    </cfRule>
  </conditionalFormatting>
  <conditionalFormatting sqref="I64:I65">
    <cfRule type="iconSet" priority="5">
      <iconSet iconSet="3Arrows">
        <cfvo type="percent" val="0"/>
        <cfvo type="num" val="0"/>
        <cfvo type="num" val="0"/>
      </iconSet>
    </cfRule>
  </conditionalFormatting>
  <conditionalFormatting sqref="M63">
    <cfRule type="iconSet" priority="6">
      <iconSet iconSet="3Arrows">
        <cfvo type="percent" val="0"/>
        <cfvo type="num" val="0"/>
        <cfvo type="num" val="0"/>
      </iconSet>
    </cfRule>
  </conditionalFormatting>
  <conditionalFormatting sqref="I63">
    <cfRule type="iconSet" priority="7">
      <iconSet iconSet="3Arrows">
        <cfvo type="percent" val="0"/>
        <cfvo type="num" val="0"/>
        <cfvo type="num" val="0"/>
      </iconSet>
    </cfRule>
  </conditionalFormatting>
  <conditionalFormatting sqref="T12">
    <cfRule type="iconSet" priority="8">
      <iconSet iconSet="3Arrows">
        <cfvo type="percent" val="0"/>
        <cfvo type="num" val="0"/>
        <cfvo type="num" val="0"/>
      </iconSet>
    </cfRule>
  </conditionalFormatting>
  <conditionalFormatting sqref="L12">
    <cfRule type="iconSet" priority="9">
      <iconSet iconSet="3Arrows">
        <cfvo type="percent" val="0"/>
        <cfvo type="num" val="0"/>
        <cfvo type="num" val="0"/>
      </iconSet>
    </cfRule>
  </conditionalFormatting>
  <conditionalFormatting sqref="I12">
    <cfRule type="iconSet" priority="10">
      <iconSet iconSet="3Arrows">
        <cfvo type="percent" val="0"/>
        <cfvo type="num" val="0"/>
        <cfvo type="num" val="0"/>
      </iconSet>
    </cfRule>
  </conditionalFormatting>
  <conditionalFormatting sqref="Q12">
    <cfRule type="iconSet" priority="11">
      <iconSet iconSet="3Arrows">
        <cfvo type="percent" val="0"/>
        <cfvo type="num" val="0"/>
        <cfvo type="num" val="0"/>
      </iconSet>
    </cfRule>
  </conditionalFormatting>
  <conditionalFormatting sqref="T5:T11">
    <cfRule type="iconSet" priority="12">
      <iconSet iconSet="3Arrows">
        <cfvo type="percent" val="0"/>
        <cfvo type="num" val="0"/>
        <cfvo type="num" val="0"/>
      </iconSet>
    </cfRule>
  </conditionalFormatting>
  <conditionalFormatting sqref="L5:L11">
    <cfRule type="iconSet" priority="13">
      <iconSet iconSet="3Arrows">
        <cfvo type="percent" val="0"/>
        <cfvo type="num" val="0"/>
        <cfvo type="num" val="0"/>
      </iconSet>
    </cfRule>
  </conditionalFormatting>
  <conditionalFormatting sqref="I5:I11">
    <cfRule type="iconSet" priority="14">
      <iconSet iconSet="3Arrows">
        <cfvo type="percent" val="0"/>
        <cfvo type="num" val="0"/>
        <cfvo type="num" val="0"/>
      </iconSet>
    </cfRule>
  </conditionalFormatting>
  <conditionalFormatting sqref="Q5:Q11">
    <cfRule type="iconSet" priority="15">
      <iconSet iconSet="3Arrows">
        <cfvo type="percent" val="0"/>
        <cfvo type="num" val="0"/>
        <cfvo type="num" val="0"/>
      </iconSet>
    </cfRule>
  </conditionalFormatting>
  <conditionalFormatting sqref="T30:T36">
    <cfRule type="iconSet" priority="16">
      <iconSet iconSet="3Arrows">
        <cfvo type="percent" val="0"/>
        <cfvo type="num" val="0"/>
        <cfvo type="num" val="0"/>
      </iconSet>
    </cfRule>
  </conditionalFormatting>
  <conditionalFormatting sqref="L30:L36">
    <cfRule type="iconSet" priority="17">
      <iconSet iconSet="3Arrows">
        <cfvo type="percent" val="0"/>
        <cfvo type="num" val="0"/>
        <cfvo type="num" val="0"/>
      </iconSet>
    </cfRule>
  </conditionalFormatting>
  <conditionalFormatting sqref="I30:I36">
    <cfRule type="iconSet" priority="18">
      <iconSet iconSet="3Arrows">
        <cfvo type="percent" val="0"/>
        <cfvo type="num" val="0"/>
        <cfvo type="num" val="0"/>
      </iconSet>
    </cfRule>
  </conditionalFormatting>
  <conditionalFormatting sqref="Q30:Q36">
    <cfRule type="iconSet" priority="19">
      <iconSet iconSet="3Arrows">
        <cfvo type="percent" val="0"/>
        <cfvo type="num" val="0"/>
        <cfvo type="num" val="0"/>
      </iconSet>
    </cfRule>
  </conditionalFormatting>
  <conditionalFormatting sqref="T37">
    <cfRule type="iconSet" priority="20">
      <iconSet iconSet="3Arrows">
        <cfvo type="percent" val="0"/>
        <cfvo type="num" val="0"/>
        <cfvo type="num" val="0"/>
      </iconSet>
    </cfRule>
  </conditionalFormatting>
  <conditionalFormatting sqref="L37">
    <cfRule type="iconSet" priority="21">
      <iconSet iconSet="3Arrows">
        <cfvo type="percent" val="0"/>
        <cfvo type="num" val="0"/>
        <cfvo type="num" val="0"/>
      </iconSet>
    </cfRule>
  </conditionalFormatting>
  <conditionalFormatting sqref="I37">
    <cfRule type="iconSet" priority="22">
      <iconSet iconSet="3Arrows">
        <cfvo type="percent" val="0"/>
        <cfvo type="num" val="0"/>
        <cfvo type="num" val="0"/>
      </iconSet>
    </cfRule>
  </conditionalFormatting>
  <conditionalFormatting sqref="Q37">
    <cfRule type="iconSet" priority="23">
      <iconSet iconSet="3Arrows">
        <cfvo type="percent" val="0"/>
        <cfvo type="num" val="0"/>
        <cfvo type="num" val="0"/>
      </iconSet>
    </cfRule>
  </conditionalFormatting>
  <conditionalFormatting sqref="T17:T23">
    <cfRule type="iconSet" priority="24">
      <iconSet iconSet="3Arrows">
        <cfvo type="percent" val="0"/>
        <cfvo type="num" val="0"/>
        <cfvo type="num" val="0"/>
      </iconSet>
    </cfRule>
  </conditionalFormatting>
  <conditionalFormatting sqref="L17:L23">
    <cfRule type="iconSet" priority="25">
      <iconSet iconSet="3Arrows">
        <cfvo type="percent" val="0"/>
        <cfvo type="num" val="0"/>
        <cfvo type="num" val="0"/>
      </iconSet>
    </cfRule>
  </conditionalFormatting>
  <conditionalFormatting sqref="I17:I23">
    <cfRule type="iconSet" priority="26">
      <iconSet iconSet="3Arrows">
        <cfvo type="percent" val="0"/>
        <cfvo type="num" val="0"/>
        <cfvo type="num" val="0"/>
      </iconSet>
    </cfRule>
  </conditionalFormatting>
  <conditionalFormatting sqref="Q17:Q23">
    <cfRule type="iconSet" priority="27">
      <iconSet iconSet="3Arrows">
        <cfvo type="percent" val="0"/>
        <cfvo type="num" val="0"/>
        <cfvo type="num" val="0"/>
      </iconSet>
    </cfRule>
  </conditionalFormatting>
  <conditionalFormatting sqref="T24">
    <cfRule type="iconSet" priority="28">
      <iconSet iconSet="3Arrows">
        <cfvo type="percent" val="0"/>
        <cfvo type="num" val="0"/>
        <cfvo type="num" val="0"/>
      </iconSet>
    </cfRule>
  </conditionalFormatting>
  <conditionalFormatting sqref="L24">
    <cfRule type="iconSet" priority="29">
      <iconSet iconSet="3Arrows">
        <cfvo type="percent" val="0"/>
        <cfvo type="num" val="0"/>
        <cfvo type="num" val="0"/>
      </iconSet>
    </cfRule>
  </conditionalFormatting>
  <conditionalFormatting sqref="I24">
    <cfRule type="iconSet" priority="30">
      <iconSet iconSet="3Arrows">
        <cfvo type="percent" val="0"/>
        <cfvo type="num" val="0"/>
        <cfvo type="num" val="0"/>
      </iconSet>
    </cfRule>
  </conditionalFormatting>
  <conditionalFormatting sqref="Q24">
    <cfRule type="iconSet" priority="31">
      <iconSet iconSet="3Arrows">
        <cfvo type="percent" val="0"/>
        <cfvo type="num" val="0"/>
        <cfvo type="num" val="0"/>
      </iconSet>
    </cfRule>
  </conditionalFormatting>
  <conditionalFormatting sqref="M89 M97">
    <cfRule type="iconSet" priority="32">
      <iconSet iconSet="3Arrows">
        <cfvo type="percent" val="0"/>
        <cfvo type="num" val="0"/>
        <cfvo type="num" val="0"/>
      </iconSet>
    </cfRule>
  </conditionalFormatting>
  <conditionalFormatting sqref="I89">
    <cfRule type="iconSet" priority="33">
      <iconSet iconSet="3Arrows">
        <cfvo type="percent" val="0"/>
        <cfvo type="num" val="0"/>
        <cfvo type="num" val="0"/>
      </iconSet>
    </cfRule>
  </conditionalFormatting>
  <conditionalFormatting sqref="M85">
    <cfRule type="iconSet" priority="34">
      <iconSet iconSet="3Arrows">
        <cfvo type="percent" val="0"/>
        <cfvo type="num" val="0"/>
        <cfvo type="num" val="0"/>
      </iconSet>
    </cfRule>
  </conditionalFormatting>
  <conditionalFormatting sqref="I85">
    <cfRule type="iconSet" priority="35">
      <iconSet iconSet="3Arrows">
        <cfvo type="percent" val="0"/>
        <cfvo type="num" val="0"/>
        <cfvo type="num" val="0"/>
      </iconSet>
    </cfRule>
  </conditionalFormatting>
  <conditionalFormatting sqref="M83:M84 M86:M88">
    <cfRule type="iconSet" priority="36">
      <iconSet iconSet="3Arrows">
        <cfvo type="percent" val="0"/>
        <cfvo type="num" val="0"/>
        <cfvo type="num" val="0"/>
      </iconSet>
    </cfRule>
  </conditionalFormatting>
  <conditionalFormatting sqref="I83:I84 I86:I88">
    <cfRule type="iconSet" priority="37">
      <iconSet iconSet="3Arrows">
        <cfvo type="percent" val="0"/>
        <cfvo type="num" val="0"/>
        <cfvo type="num" val="0"/>
      </iconSet>
    </cfRule>
  </conditionalFormatting>
  <conditionalFormatting sqref="I44:I55 I73:I75">
    <cfRule type="iconSet" priority="38">
      <iconSet iconSet="3Arrows">
        <cfvo type="percent" val="0"/>
        <cfvo type="num" val="0"/>
        <cfvo type="num" val="0"/>
      </iconSet>
    </cfRule>
  </conditionalFormatting>
  <conditionalFormatting sqref="M44:M55 M73:M75">
    <cfRule type="iconSet" priority="39">
      <iconSet iconSet="3Arrows">
        <cfvo type="percent" val="0"/>
        <cfvo type="num" val="0"/>
        <cfvo type="num" val="0"/>
      </iconSet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  <pageSetUpPr fitToPage="1"/>
  </sheetPr>
  <dimension ref="A1:Q177"/>
  <sheetViews>
    <sheetView topLeftCell="A60" zoomScaleNormal="100" workbookViewId="0">
      <selection activeCell="J65" sqref="J65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4.17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145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1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146</v>
      </c>
      <c r="C7" s="11">
        <f>'ESSENTIA MAYO'!O30</f>
        <v>163628.75630000001</v>
      </c>
      <c r="D7" s="11">
        <f>'ESSENTIA MAYO'!N30</f>
        <v>145456.33600000001</v>
      </c>
      <c r="E7" s="11">
        <f>D7-C7</f>
        <v>-18172.420299999998</v>
      </c>
      <c r="F7" s="12">
        <f>D7/C7-1</f>
        <v>-0.11105884265649701</v>
      </c>
      <c r="G7" s="13">
        <f>'ESSENTIA MAYO'!G30</f>
        <v>5170577.0464203199</v>
      </c>
      <c r="H7" s="13">
        <f>'ESSENTIA MAYO'!F30</f>
        <v>4759735.05</v>
      </c>
      <c r="I7" s="13">
        <f>H7-G7</f>
        <v>-410841.99642032012</v>
      </c>
      <c r="J7" s="12">
        <f>H7/G7-1</f>
        <v>-7.9457668405647941E-2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12000</v>
      </c>
      <c r="C11" s="20" t="s">
        <v>22</v>
      </c>
      <c r="D11" s="21">
        <v>0.7</v>
      </c>
      <c r="E11" s="22">
        <f>B11*D11</f>
        <v>8400</v>
      </c>
      <c r="F11" s="23"/>
      <c r="G11" s="20" t="s">
        <v>22</v>
      </c>
      <c r="H11" s="24">
        <f>G7</f>
        <v>5170577.0464203199</v>
      </c>
      <c r="I11" s="24">
        <f>H7</f>
        <v>4759735.05</v>
      </c>
      <c r="J11" s="25">
        <f>IFERROR(I11/H11,0)</f>
        <v>0.92054233159435206</v>
      </c>
      <c r="K11" s="26">
        <f>IF(J11&lt;M11,0,J11*$E11)</f>
        <v>7732.5555853925571</v>
      </c>
      <c r="M11" s="27">
        <v>0.9</v>
      </c>
    </row>
    <row r="12" spans="1:15" ht="14.25" customHeight="1">
      <c r="A12" s="2"/>
      <c r="B12" s="307"/>
      <c r="C12" s="28" t="s">
        <v>23</v>
      </c>
      <c r="D12" s="21">
        <v>0.12</v>
      </c>
      <c r="E12" s="22">
        <f>B11*D12</f>
        <v>1440</v>
      </c>
      <c r="F12" s="23"/>
      <c r="G12" s="28" t="str">
        <f>C12</f>
        <v>Cierre de 3 pedidos  1000 Kgcon clientes actuales de FMC</v>
      </c>
      <c r="H12" s="12">
        <v>1</v>
      </c>
      <c r="I12" s="12"/>
      <c r="J12" s="12">
        <f>I12/H12</f>
        <v>0</v>
      </c>
      <c r="K12" s="26">
        <f>IF(J12&lt;M12,0,J12*$E12)</f>
        <v>0</v>
      </c>
      <c r="M12" s="27">
        <v>0.8</v>
      </c>
    </row>
    <row r="13" spans="1:15" ht="14.25" customHeight="1">
      <c r="A13" s="2"/>
      <c r="B13" s="307"/>
      <c r="C13" s="28" t="s">
        <v>24</v>
      </c>
      <c r="D13" s="21">
        <v>0.05</v>
      </c>
      <c r="E13" s="22">
        <f>B$11*D$13</f>
        <v>600</v>
      </c>
      <c r="F13" s="23"/>
      <c r="G13" s="28" t="str">
        <f>C13</f>
        <v>Contar con calendario de pruebas inicios de año 2020</v>
      </c>
      <c r="H13" s="12">
        <v>1</v>
      </c>
      <c r="I13" s="12"/>
      <c r="J13" s="12">
        <f>I13/H13</f>
        <v>0</v>
      </c>
      <c r="K13" s="26">
        <f>IF(J13&lt;M13,0,J13*$E13)</f>
        <v>0</v>
      </c>
      <c r="M13" s="27">
        <v>1</v>
      </c>
    </row>
    <row r="14" spans="1:15" ht="14.25" customHeight="1">
      <c r="A14" s="2"/>
      <c r="B14" s="307"/>
      <c r="C14" s="28" t="s">
        <v>25</v>
      </c>
      <c r="D14" s="21">
        <v>0.05</v>
      </c>
      <c r="E14" s="22">
        <f>B$11*D$13</f>
        <v>600</v>
      </c>
      <c r="F14" s="23"/>
      <c r="G14" s="28" t="str">
        <f>C14</f>
        <v>Presentar estrategica por region Occidente 2020</v>
      </c>
      <c r="H14" s="12">
        <v>1</v>
      </c>
      <c r="I14" s="12"/>
      <c r="J14" s="12">
        <f>I14/H14</f>
        <v>0</v>
      </c>
      <c r="K14" s="26">
        <f>IF(J14&lt;M14,0,J14*$E14)</f>
        <v>0</v>
      </c>
      <c r="M14" s="27">
        <v>0.75</v>
      </c>
    </row>
    <row r="15" spans="1:15" ht="14.25" customHeight="1">
      <c r="A15" s="2"/>
      <c r="B15" s="307"/>
      <c r="C15" s="28" t="s">
        <v>26</v>
      </c>
      <c r="D15" s="21">
        <v>0.08</v>
      </c>
      <c r="E15" s="22">
        <f>B11*D15</f>
        <v>960</v>
      </c>
      <c r="F15" s="23"/>
      <c r="G15" s="28" t="str">
        <f>C15</f>
        <v xml:space="preserve">Presentar presupuesto lunes 6 de Diciembre </v>
      </c>
      <c r="H15" s="12">
        <v>1</v>
      </c>
      <c r="I15" s="12"/>
      <c r="J15" s="12">
        <f>I15/H15</f>
        <v>0</v>
      </c>
      <c r="K15" s="26">
        <f>IF(J15&lt;M15,0,J15*$E15)</f>
        <v>0</v>
      </c>
      <c r="M15" s="27">
        <v>0.75</v>
      </c>
    </row>
    <row r="16" spans="1:15" ht="14.25" customHeight="1">
      <c r="A16" s="2"/>
      <c r="B16" s="29"/>
      <c r="C16" s="30" t="s">
        <v>27</v>
      </c>
      <c r="D16" s="31">
        <f>SUM(D11:D15)</f>
        <v>1</v>
      </c>
      <c r="E16" s="32">
        <f>SUM(E11:E15)</f>
        <v>12000</v>
      </c>
      <c r="F16" s="23"/>
      <c r="G16" s="33"/>
      <c r="J16" s="34" t="s">
        <v>28</v>
      </c>
      <c r="K16" s="35">
        <f>SUM(K12:K15)</f>
        <v>0</v>
      </c>
      <c r="M16" s="36"/>
      <c r="N16" s="37"/>
    </row>
    <row r="17" spans="1:15" ht="15" customHeight="1">
      <c r="A17" s="2"/>
      <c r="F17" s="23"/>
      <c r="M17" s="36"/>
      <c r="N17" s="37"/>
    </row>
    <row r="18" spans="1:15" ht="15" customHeight="1">
      <c r="A18" s="2"/>
      <c r="F18" s="23"/>
      <c r="J18" s="38" t="s">
        <v>29</v>
      </c>
      <c r="K18" s="39">
        <f>+K16+K11</f>
        <v>7732.5555853925571</v>
      </c>
    </row>
    <row r="19" spans="1:15" ht="14.25" customHeight="1">
      <c r="A19" s="2"/>
      <c r="F19" s="33"/>
    </row>
    <row r="20" spans="1:15" ht="14.25" customHeight="1">
      <c r="A20" s="2"/>
      <c r="F20" s="33"/>
      <c r="G20" s="40"/>
    </row>
    <row r="21" spans="1:15" ht="14.25" customHeight="1">
      <c r="A21" s="2"/>
      <c r="F21" s="33"/>
      <c r="G21" s="40"/>
    </row>
    <row r="23" spans="1:15" ht="15" customHeight="1"/>
    <row r="24" spans="1:15" ht="21" customHeight="1">
      <c r="C24" s="308" t="s">
        <v>30</v>
      </c>
      <c r="D24" s="308"/>
      <c r="E24" s="308"/>
      <c r="F24" s="308"/>
      <c r="G24" s="308"/>
      <c r="H24" s="308"/>
      <c r="I24" s="308"/>
      <c r="J24" s="308"/>
    </row>
    <row r="25" spans="1:15" ht="14.25" customHeight="1">
      <c r="A25" s="2"/>
      <c r="O25" s="3"/>
    </row>
    <row r="26" spans="1:15" ht="14.25" customHeight="1">
      <c r="A26" s="2"/>
      <c r="C26" s="303" t="s">
        <v>2</v>
      </c>
      <c r="D26" s="303"/>
      <c r="E26" s="4" t="s">
        <v>3</v>
      </c>
      <c r="F26" s="4"/>
      <c r="G26" s="303" t="s">
        <v>4</v>
      </c>
      <c r="H26" s="303"/>
      <c r="I26" s="304" t="s">
        <v>3</v>
      </c>
      <c r="J26" s="304"/>
    </row>
    <row r="27" spans="1:15" ht="14.25" customHeight="1">
      <c r="A27" s="2"/>
      <c r="B27" s="5" t="s">
        <v>5</v>
      </c>
      <c r="C27" s="6" t="s">
        <v>6</v>
      </c>
      <c r="D27" s="7" t="s">
        <v>7</v>
      </c>
      <c r="E27" s="8" t="s">
        <v>8</v>
      </c>
      <c r="F27" s="8" t="s">
        <v>9</v>
      </c>
      <c r="G27" s="6" t="s">
        <v>6</v>
      </c>
      <c r="H27" s="7" t="s">
        <v>7</v>
      </c>
      <c r="I27" s="8" t="s">
        <v>10</v>
      </c>
      <c r="J27" s="9" t="s">
        <v>9</v>
      </c>
    </row>
    <row r="28" spans="1:15" ht="14.25" customHeight="1">
      <c r="A28" s="2"/>
      <c r="B28" s="10" t="str">
        <f>$B$7</f>
        <v>MAYO</v>
      </c>
      <c r="C28" s="11">
        <f>'ESSENTIA MAYO'!O31</f>
        <v>36553</v>
      </c>
      <c r="D28" s="11">
        <f>'ESSENTIA MAYO'!N31</f>
        <v>23178.991999999998</v>
      </c>
      <c r="E28" s="11">
        <f>D28-C28</f>
        <v>-13374.008000000002</v>
      </c>
      <c r="F28" s="12">
        <f>D28/C28-1</f>
        <v>-0.36587990041857033</v>
      </c>
      <c r="G28" s="13">
        <f>'ESSENTIA MAYO'!G31</f>
        <v>2421147.8816999998</v>
      </c>
      <c r="H28" s="13">
        <f>'ESSENTIA MAYO'!F31</f>
        <v>1727675.26</v>
      </c>
      <c r="I28" s="13">
        <f>H28-G28</f>
        <v>-693472.62169999979</v>
      </c>
      <c r="J28" s="12">
        <f>H28/G28-1</f>
        <v>-0.28642307516262933</v>
      </c>
    </row>
    <row r="29" spans="1:15" ht="14.25" customHeight="1">
      <c r="A29" s="2"/>
    </row>
    <row r="30" spans="1:15" ht="15" customHeight="1">
      <c r="A30" s="2"/>
      <c r="B30" s="305" t="s">
        <v>12</v>
      </c>
      <c r="C30" s="305"/>
      <c r="D30" s="305"/>
      <c r="E30" s="305"/>
      <c r="G30" s="15" t="s">
        <v>31</v>
      </c>
      <c r="H30" s="15"/>
      <c r="I30" s="15"/>
      <c r="J30" s="15"/>
      <c r="K30" s="15"/>
    </row>
    <row r="31" spans="1:15" ht="29.25" customHeight="1">
      <c r="A31" s="2"/>
      <c r="B31" s="9" t="s">
        <v>14</v>
      </c>
      <c r="C31" s="9" t="s">
        <v>15</v>
      </c>
      <c r="D31" s="16" t="s">
        <v>16</v>
      </c>
      <c r="E31" s="9" t="s">
        <v>17</v>
      </c>
      <c r="F31" s="19" t="s">
        <v>21</v>
      </c>
      <c r="G31" s="9" t="s">
        <v>15</v>
      </c>
      <c r="H31" s="18" t="s">
        <v>18</v>
      </c>
      <c r="I31" s="9" t="s">
        <v>19</v>
      </c>
      <c r="J31" s="9" t="s">
        <v>20</v>
      </c>
      <c r="K31" s="9" t="s">
        <v>14</v>
      </c>
      <c r="M31" s="9" t="s">
        <v>21</v>
      </c>
    </row>
    <row r="32" spans="1:15" ht="14.25" customHeight="1">
      <c r="A32" s="2"/>
      <c r="B32" s="41">
        <v>1000</v>
      </c>
      <c r="C32" s="42" t="s">
        <v>22</v>
      </c>
      <c r="D32" s="43">
        <f>E32/$B$37</f>
        <v>0.15384615384615385</v>
      </c>
      <c r="E32" s="44">
        <v>1000</v>
      </c>
      <c r="F32" s="45">
        <v>0.5</v>
      </c>
      <c r="G32" s="28" t="str">
        <f>C32</f>
        <v>Cumplimiento Presupuesto</v>
      </c>
      <c r="H32" s="41">
        <f>G28</f>
        <v>2421147.8816999998</v>
      </c>
      <c r="I32" s="41">
        <f>H28</f>
        <v>1727675.26</v>
      </c>
      <c r="J32" s="45">
        <f>IFERROR(I32/H32,0)</f>
        <v>0.71357692483737067</v>
      </c>
      <c r="K32" s="26">
        <f>IF(J32&lt;M32,0,J32*$E32)</f>
        <v>713.57692483737071</v>
      </c>
      <c r="M32" s="45">
        <v>0.5</v>
      </c>
    </row>
    <row r="33" spans="1:13" ht="14.25" customHeight="1">
      <c r="A33" s="2"/>
      <c r="B33" s="41">
        <v>1000</v>
      </c>
      <c r="C33" s="42" t="s">
        <v>32</v>
      </c>
      <c r="D33" s="43">
        <f>E33/$B$37</f>
        <v>0.15384615384615385</v>
      </c>
      <c r="E33" s="44">
        <v>1000</v>
      </c>
      <c r="F33" s="45">
        <v>1</v>
      </c>
      <c r="G33" s="28" t="str">
        <f>C33</f>
        <v xml:space="preserve">Pruebas atorizadas por realizar con cliente </v>
      </c>
      <c r="H33" s="12">
        <v>1</v>
      </c>
      <c r="I33" s="41"/>
      <c r="J33" s="45">
        <f>IFERROR(I33/H33,0)</f>
        <v>0</v>
      </c>
      <c r="K33" s="26">
        <f>IF(J33&lt;M33,0,J33*$E33)</f>
        <v>0</v>
      </c>
      <c r="M33" s="45">
        <v>1</v>
      </c>
    </row>
    <row r="34" spans="1:13" ht="14.25" customHeight="1">
      <c r="A34" s="2"/>
      <c r="B34" s="41">
        <v>1500</v>
      </c>
      <c r="C34" s="20" t="s">
        <v>33</v>
      </c>
      <c r="D34" s="43">
        <f>E34/$B$37</f>
        <v>0.23076923076923078</v>
      </c>
      <c r="E34" s="44">
        <v>1500</v>
      </c>
      <c r="F34" s="45">
        <v>1</v>
      </c>
      <c r="G34" s="28" t="str">
        <f>C34</f>
        <v xml:space="preserve">Armado e implementación estrategia Baja California </v>
      </c>
      <c r="H34" s="12">
        <v>1</v>
      </c>
      <c r="I34" s="12"/>
      <c r="J34" s="45">
        <f>IFERROR(I34/H34,0)</f>
        <v>0</v>
      </c>
      <c r="K34" s="26">
        <f>IF(J34&lt;M34,0,J34*$E34)</f>
        <v>0</v>
      </c>
      <c r="M34" s="45">
        <v>1</v>
      </c>
    </row>
    <row r="35" spans="1:13" ht="14.25" customHeight="1">
      <c r="A35" s="2"/>
      <c r="B35" s="41">
        <v>1500</v>
      </c>
      <c r="C35" s="28" t="s">
        <v>34</v>
      </c>
      <c r="D35" s="43">
        <f>E35/$B$37</f>
        <v>0.23076923076923078</v>
      </c>
      <c r="E35" s="44">
        <v>1500</v>
      </c>
      <c r="F35" s="45">
        <v>0.75</v>
      </c>
      <c r="G35" s="28" t="str">
        <f>C35</f>
        <v>Presentar estrategica por región 2020</v>
      </c>
      <c r="H35" s="12">
        <v>1</v>
      </c>
      <c r="I35" s="12"/>
      <c r="J35" s="45">
        <f>IFERROR(I35/H35,0)</f>
        <v>0</v>
      </c>
      <c r="K35" s="26">
        <f>IF(J35&lt;M35,0,J35*$E35)</f>
        <v>0</v>
      </c>
      <c r="M35" s="45">
        <v>0.75</v>
      </c>
    </row>
    <row r="36" spans="1:13" ht="14.25" customHeight="1">
      <c r="A36" s="2"/>
      <c r="B36" s="41">
        <v>1500</v>
      </c>
      <c r="C36" s="28" t="s">
        <v>26</v>
      </c>
      <c r="D36" s="43">
        <f>E36/$B$37</f>
        <v>0.23076923076923078</v>
      </c>
      <c r="E36" s="44">
        <v>1500</v>
      </c>
      <c r="F36" s="45">
        <v>0.75</v>
      </c>
      <c r="G36" s="28" t="str">
        <f>C36</f>
        <v xml:space="preserve">Presentar presupuesto lunes 6 de Diciembre </v>
      </c>
      <c r="H36" s="12">
        <v>1</v>
      </c>
      <c r="I36" s="12"/>
      <c r="J36" s="45">
        <f>IFERROR(I36/H36,0)</f>
        <v>0</v>
      </c>
      <c r="K36" s="26">
        <f>IF(J36&lt;M36,0,J36*$E36)</f>
        <v>0</v>
      </c>
      <c r="M36" s="45">
        <v>0.75</v>
      </c>
    </row>
    <row r="37" spans="1:13" ht="14.25" customHeight="1">
      <c r="A37" s="2"/>
      <c r="B37" s="46">
        <f>SUM(B32:B36)</f>
        <v>6500</v>
      </c>
      <c r="C37" s="30" t="s">
        <v>27</v>
      </c>
      <c r="D37" s="47"/>
      <c r="E37" s="48">
        <f>SUM(E31:E36)</f>
        <v>6500</v>
      </c>
      <c r="F37" s="23"/>
      <c r="G37" s="33"/>
      <c r="I37" s="49"/>
      <c r="J37" s="34" t="s">
        <v>28</v>
      </c>
      <c r="K37" s="35">
        <f>SUM(K34:K34)</f>
        <v>0</v>
      </c>
    </row>
    <row r="38" spans="1:13" ht="15" customHeight="1">
      <c r="A38" s="2"/>
      <c r="C38" s="50"/>
      <c r="D38" s="51"/>
      <c r="E38" s="52"/>
      <c r="F38" s="23"/>
    </row>
    <row r="39" spans="1:13" ht="14.25" customHeight="1">
      <c r="A39" s="2"/>
      <c r="F39" s="23"/>
      <c r="J39" s="62" t="s">
        <v>29</v>
      </c>
      <c r="K39" s="63">
        <f>+K37+K32</f>
        <v>713.57692483737071</v>
      </c>
    </row>
    <row r="40" spans="1:13" ht="14.25" customHeight="1">
      <c r="A40" s="2"/>
      <c r="F40" s="33"/>
      <c r="J40" s="55"/>
      <c r="K40" s="22"/>
    </row>
    <row r="41" spans="1:13" ht="14.25" customHeight="1">
      <c r="F41" s="33"/>
    </row>
    <row r="42" spans="1:13" ht="15" customHeight="1"/>
    <row r="43" spans="1:13" ht="21" customHeight="1">
      <c r="C43" s="308" t="s">
        <v>37</v>
      </c>
      <c r="D43" s="308"/>
      <c r="E43" s="308"/>
      <c r="F43" s="308"/>
      <c r="G43" s="308"/>
      <c r="H43" s="308"/>
      <c r="I43" s="308"/>
      <c r="J43" s="308"/>
    </row>
    <row r="45" spans="1:13" ht="14.25" customHeight="1">
      <c r="C45" s="303" t="s">
        <v>2</v>
      </c>
      <c r="D45" s="303"/>
      <c r="E45" s="4" t="s">
        <v>3</v>
      </c>
      <c r="F45" s="4"/>
      <c r="G45" s="303" t="s">
        <v>4</v>
      </c>
      <c r="H45" s="303"/>
      <c r="I45" s="304" t="s">
        <v>3</v>
      </c>
      <c r="J45" s="304"/>
    </row>
    <row r="46" spans="1:13" ht="14.25" customHeight="1">
      <c r="B46" s="5" t="s">
        <v>5</v>
      </c>
      <c r="C46" s="6" t="s">
        <v>6</v>
      </c>
      <c r="D46" s="7" t="s">
        <v>7</v>
      </c>
      <c r="E46" s="8" t="s">
        <v>8</v>
      </c>
      <c r="F46" s="8" t="s">
        <v>9</v>
      </c>
      <c r="G46" s="6" t="s">
        <v>6</v>
      </c>
      <c r="H46" s="7" t="s">
        <v>7</v>
      </c>
      <c r="I46" s="8" t="s">
        <v>10</v>
      </c>
      <c r="J46" s="9" t="s">
        <v>9</v>
      </c>
    </row>
    <row r="47" spans="1:13" ht="14.25" customHeight="1">
      <c r="B47" s="10" t="str">
        <f>$B$7</f>
        <v>MAYO</v>
      </c>
      <c r="C47" s="11">
        <f>'ESSENTIA MAYO'!O36</f>
        <v>28902.141995000002</v>
      </c>
      <c r="D47" s="11">
        <f>'ESSENTIA MAYO'!N36</f>
        <v>26639.24</v>
      </c>
      <c r="E47" s="11">
        <f>D47-C47</f>
        <v>-2262.9019950000002</v>
      </c>
      <c r="F47" s="12">
        <f>D47/C47-1</f>
        <v>-7.8295304043260017E-2</v>
      </c>
      <c r="G47" s="13">
        <f>'ESSENTIA MAYO'!G36</f>
        <v>1694685.6150625299</v>
      </c>
      <c r="H47" s="13">
        <f>'ESSENTIA MAYO'!F36</f>
        <v>1452368.42</v>
      </c>
      <c r="I47" s="13">
        <f>H47-G47</f>
        <v>-242317.19506252999</v>
      </c>
      <c r="J47" s="12">
        <f>H47/G47-1</f>
        <v>-0.14298651791741857</v>
      </c>
    </row>
    <row r="49" spans="2:13" ht="14.25" customHeight="1">
      <c r="B49" s="305" t="s">
        <v>12</v>
      </c>
      <c r="C49" s="305"/>
      <c r="D49" s="305"/>
      <c r="E49" s="305"/>
      <c r="G49" s="306" t="s">
        <v>13</v>
      </c>
      <c r="H49" s="306"/>
      <c r="I49" s="306"/>
      <c r="J49" s="306"/>
      <c r="K49" s="306"/>
    </row>
    <row r="50" spans="2:13" ht="14.25" customHeight="1">
      <c r="B50" s="9" t="s">
        <v>14</v>
      </c>
      <c r="C50" s="9" t="s">
        <v>15</v>
      </c>
      <c r="D50" s="16" t="s">
        <v>16</v>
      </c>
      <c r="E50" s="9" t="s">
        <v>17</v>
      </c>
      <c r="F50" s="14"/>
      <c r="G50" s="9" t="s">
        <v>15</v>
      </c>
      <c r="H50" s="18" t="s">
        <v>18</v>
      </c>
      <c r="I50" s="9" t="s">
        <v>19</v>
      </c>
      <c r="J50" s="9" t="s">
        <v>20</v>
      </c>
      <c r="K50" s="9" t="s">
        <v>14</v>
      </c>
    </row>
    <row r="51" spans="2:13" ht="14.25" customHeight="1">
      <c r="B51" s="309">
        <v>7000</v>
      </c>
      <c r="C51" s="20" t="s">
        <v>22</v>
      </c>
      <c r="D51" s="58">
        <v>0.5</v>
      </c>
      <c r="E51" s="26">
        <f>B51*D51</f>
        <v>3500</v>
      </c>
      <c r="F51" s="17"/>
      <c r="G51" s="28" t="str">
        <f>C51</f>
        <v>Cumplimiento Presupuesto</v>
      </c>
      <c r="H51" s="41">
        <f>G47</f>
        <v>1694685.6150625299</v>
      </c>
      <c r="I51" s="41">
        <f>H47</f>
        <v>1452368.42</v>
      </c>
      <c r="J51" s="45">
        <f>IFERROR(I51/H51,0)</f>
        <v>0.85701348208258143</v>
      </c>
      <c r="K51" s="26">
        <f>IF(J51&lt;M52,0,J51*$E51)</f>
        <v>0</v>
      </c>
      <c r="M51" s="9" t="s">
        <v>21</v>
      </c>
    </row>
    <row r="52" spans="2:13" ht="21" customHeight="1">
      <c r="B52" s="309"/>
      <c r="C52" s="20" t="s">
        <v>38</v>
      </c>
      <c r="D52" s="58">
        <v>0.2</v>
      </c>
      <c r="E52" s="26">
        <f>B51*D52</f>
        <v>1400</v>
      </c>
      <c r="F52" s="23"/>
      <c r="G52" s="28" t="str">
        <f>C52</f>
        <v xml:space="preserve">Aplicación de pruebas unidades de chorizo </v>
      </c>
      <c r="H52" s="45">
        <v>1</v>
      </c>
      <c r="I52" s="45"/>
      <c r="J52" s="25">
        <f>IFERROR(I52/H52,0)</f>
        <v>0</v>
      </c>
      <c r="K52" s="26">
        <f>IF(J52&lt;M53,0,J52*$E52)</f>
        <v>0</v>
      </c>
      <c r="M52" s="45">
        <v>0.95</v>
      </c>
    </row>
    <row r="53" spans="2:13" ht="14.25" customHeight="1">
      <c r="B53" s="309"/>
      <c r="C53" s="28" t="s">
        <v>39</v>
      </c>
      <c r="D53" s="58">
        <v>0.2</v>
      </c>
      <c r="E53" s="26">
        <f>B51*D53</f>
        <v>1400</v>
      </c>
      <c r="F53" s="23"/>
      <c r="G53" s="28" t="str">
        <f>C53</f>
        <v xml:space="preserve">Prospectación </v>
      </c>
      <c r="H53" s="45">
        <v>1</v>
      </c>
      <c r="I53" s="45"/>
      <c r="J53" s="25">
        <f>IFERROR(I53/H53,0)</f>
        <v>0</v>
      </c>
      <c r="K53" s="26">
        <f>IF(J53&lt;M54,0,J53*$E53)</f>
        <v>0</v>
      </c>
      <c r="M53" s="45">
        <v>0.75</v>
      </c>
    </row>
    <row r="54" spans="2:13" ht="14.25" customHeight="1">
      <c r="B54" s="309"/>
      <c r="C54" s="28" t="s">
        <v>40</v>
      </c>
      <c r="D54" s="21">
        <v>0.1</v>
      </c>
      <c r="E54" s="22">
        <f>+D54*B51</f>
        <v>700</v>
      </c>
      <c r="F54" s="23"/>
      <c r="G54" s="28" t="str">
        <f>C54</f>
        <v xml:space="preserve">Cierre de venta con productos nuevos AGR </v>
      </c>
      <c r="H54" s="45">
        <v>1</v>
      </c>
      <c r="I54" s="45"/>
      <c r="J54" s="25">
        <f>IFERROR(I54/H54,0)</f>
        <v>0</v>
      </c>
      <c r="K54" s="26">
        <f>IF(J54&lt;M55,0,J54*$E54)</f>
        <v>0</v>
      </c>
      <c r="M54" s="45">
        <v>0.75</v>
      </c>
    </row>
    <row r="55" spans="2:13" ht="14.25" customHeight="1">
      <c r="C55" s="30" t="s">
        <v>27</v>
      </c>
      <c r="D55" s="47">
        <f>SUM(D51:D54)</f>
        <v>0.99999999999999989</v>
      </c>
      <c r="E55" s="32">
        <f>SUM(E51:E54)</f>
        <v>7000</v>
      </c>
      <c r="F55" s="23"/>
      <c r="G55" s="33"/>
      <c r="I55" s="49"/>
      <c r="J55" s="34" t="s">
        <v>28</v>
      </c>
      <c r="K55" s="35">
        <f>SUM(K52:K54)</f>
        <v>0</v>
      </c>
      <c r="M55" s="45">
        <v>0.75</v>
      </c>
    </row>
    <row r="56" spans="2:13" ht="15" customHeight="1">
      <c r="F56" s="23"/>
    </row>
    <row r="57" spans="2:13" ht="15" customHeight="1">
      <c r="F57" s="23"/>
      <c r="J57" s="38" t="s">
        <v>29</v>
      </c>
      <c r="K57" s="39">
        <f>+K55+K51</f>
        <v>0</v>
      </c>
    </row>
    <row r="58" spans="2:13" ht="14.25" customHeight="1">
      <c r="F58" s="23"/>
      <c r="G58" s="40"/>
    </row>
    <row r="59" spans="2:13" ht="14.25" customHeight="1">
      <c r="F59" s="23"/>
    </row>
    <row r="60" spans="2:13" ht="15" customHeight="1"/>
    <row r="61" spans="2:13" ht="21" customHeight="1">
      <c r="C61" s="308" t="s">
        <v>41</v>
      </c>
      <c r="D61" s="308"/>
      <c r="E61" s="308"/>
      <c r="F61" s="308"/>
      <c r="G61" s="308"/>
      <c r="H61" s="308"/>
      <c r="I61" s="308"/>
      <c r="J61" s="308"/>
    </row>
    <row r="63" spans="2:13" ht="14.25" customHeight="1">
      <c r="C63" s="303" t="s">
        <v>2</v>
      </c>
      <c r="D63" s="303"/>
      <c r="E63" s="4" t="s">
        <v>3</v>
      </c>
      <c r="F63" s="4"/>
      <c r="G63" s="303" t="s">
        <v>4</v>
      </c>
      <c r="H63" s="303"/>
      <c r="I63" s="304" t="s">
        <v>3</v>
      </c>
      <c r="J63" s="304"/>
    </row>
    <row r="64" spans="2:13" ht="14.25" customHeight="1">
      <c r="B64" s="5" t="s">
        <v>5</v>
      </c>
      <c r="C64" s="6" t="s">
        <v>6</v>
      </c>
      <c r="D64" s="7" t="s">
        <v>7</v>
      </c>
      <c r="E64" s="8" t="s">
        <v>8</v>
      </c>
      <c r="F64" s="8" t="s">
        <v>9</v>
      </c>
      <c r="G64" s="6" t="s">
        <v>6</v>
      </c>
      <c r="H64" s="7" t="s">
        <v>7</v>
      </c>
      <c r="I64" s="8" t="s">
        <v>10</v>
      </c>
      <c r="J64" s="9" t="s">
        <v>9</v>
      </c>
    </row>
    <row r="65" spans="2:14" ht="14.25" customHeight="1">
      <c r="B65" s="10" t="str">
        <f>$B$7</f>
        <v>MAYO</v>
      </c>
      <c r="C65" s="11">
        <f>'ESSENTIA MAYO'!O35</f>
        <v>119122.81</v>
      </c>
      <c r="D65" s="11">
        <f>'ESSENTIA MAYO'!N35</f>
        <v>68281.326000000001</v>
      </c>
      <c r="E65" s="11">
        <f>D65-C65</f>
        <v>-50841.483999999997</v>
      </c>
      <c r="F65" s="12">
        <f>D65/C65-1</f>
        <v>-0.42679889770901136</v>
      </c>
      <c r="G65" s="13">
        <f>'ESSENTIA MAYO'!G35</f>
        <v>3334340.4512279998</v>
      </c>
      <c r="H65" s="13">
        <f>'ESSENTIA MAYO'!F35</f>
        <v>2351766.16</v>
      </c>
      <c r="I65" s="13">
        <f>H65-G65</f>
        <v>-982574.29122799961</v>
      </c>
      <c r="J65" s="12">
        <f>H65/G65-1</f>
        <v>-0.29468325313515265</v>
      </c>
    </row>
    <row r="67" spans="2:14" ht="15" customHeight="1">
      <c r="B67" s="305" t="s">
        <v>12</v>
      </c>
      <c r="C67" s="305"/>
      <c r="D67" s="305"/>
      <c r="E67" s="305"/>
      <c r="F67" s="14"/>
      <c r="G67" s="306" t="s">
        <v>13</v>
      </c>
      <c r="H67" s="306"/>
      <c r="I67" s="306"/>
      <c r="J67" s="306"/>
      <c r="K67" s="306"/>
    </row>
    <row r="68" spans="2:14" ht="14.25" customHeight="1">
      <c r="B68" s="9" t="s">
        <v>14</v>
      </c>
      <c r="C68" s="9" t="s">
        <v>15</v>
      </c>
      <c r="D68" s="16" t="s">
        <v>16</v>
      </c>
      <c r="E68" s="9" t="s">
        <v>17</v>
      </c>
      <c r="F68" s="17"/>
      <c r="G68" s="9" t="s">
        <v>15</v>
      </c>
      <c r="H68" s="18" t="s">
        <v>18</v>
      </c>
      <c r="I68" s="9" t="s">
        <v>19</v>
      </c>
      <c r="J68" s="9" t="s">
        <v>20</v>
      </c>
      <c r="K68" s="9" t="s">
        <v>14</v>
      </c>
      <c r="M68" s="9" t="s">
        <v>21</v>
      </c>
    </row>
    <row r="69" spans="2:14" ht="14.25" customHeight="1">
      <c r="B69" s="307">
        <v>10000</v>
      </c>
      <c r="C69" s="20" t="s">
        <v>22</v>
      </c>
      <c r="D69" s="21">
        <v>0.6</v>
      </c>
      <c r="E69" s="22">
        <f>+D69*B69</f>
        <v>6000</v>
      </c>
      <c r="F69" s="23"/>
      <c r="G69" s="28" t="str">
        <f>C69</f>
        <v>Cumplimiento Presupuesto</v>
      </c>
      <c r="H69" s="24">
        <f>G65</f>
        <v>3334340.4512279998</v>
      </c>
      <c r="I69" s="41">
        <f>H65</f>
        <v>2351766.16</v>
      </c>
      <c r="J69" s="25">
        <f>IFERROR(I69/H69,0)</f>
        <v>0.70531674686484735</v>
      </c>
      <c r="K69" s="26">
        <f>IF(J69&lt;M69,0,J69*$E69)</f>
        <v>0</v>
      </c>
      <c r="M69" s="45">
        <v>0.8</v>
      </c>
    </row>
    <row r="70" spans="2:14" ht="14.25" customHeight="1">
      <c r="B70" s="307"/>
      <c r="C70" s="28" t="s">
        <v>42</v>
      </c>
      <c r="D70" s="21">
        <v>0.1</v>
      </c>
      <c r="E70" s="22">
        <f>B69*D70</f>
        <v>1000</v>
      </c>
      <c r="F70" s="23"/>
      <c r="G70" s="28" t="str">
        <f>C70</f>
        <v>Cierre de 3 pedidos  300 Kgcon clientes actuales de FMC</v>
      </c>
      <c r="H70" s="45">
        <v>1</v>
      </c>
      <c r="I70" s="59"/>
      <c r="J70" s="45">
        <f>I70/H70</f>
        <v>0</v>
      </c>
      <c r="K70" s="26">
        <f>IF(J70&lt;M70,0,J70*$E70)</f>
        <v>0</v>
      </c>
      <c r="M70" s="27">
        <v>0.8</v>
      </c>
      <c r="N70" s="34"/>
    </row>
    <row r="71" spans="2:14" ht="30" customHeight="1">
      <c r="B71" s="307"/>
      <c r="C71" s="28" t="s">
        <v>24</v>
      </c>
      <c r="D71" s="21">
        <v>0.12</v>
      </c>
      <c r="E71" s="22">
        <f>+D71*B69</f>
        <v>1200</v>
      </c>
      <c r="F71" s="23"/>
      <c r="G71" s="28" t="str">
        <f>C71</f>
        <v>Contar con calendario de pruebas inicios de año 2020</v>
      </c>
      <c r="H71" s="45">
        <v>1</v>
      </c>
      <c r="I71" s="45"/>
      <c r="J71" s="25">
        <f>IFERROR(I71/H71,0)</f>
        <v>0</v>
      </c>
      <c r="K71" s="26">
        <f>IF(J71&lt;M71,0,J71*$E71)</f>
        <v>0</v>
      </c>
      <c r="M71" s="45">
        <v>1</v>
      </c>
    </row>
    <row r="72" spans="2:14" ht="30" customHeight="1">
      <c r="B72" s="307"/>
      <c r="C72" s="28" t="s">
        <v>43</v>
      </c>
      <c r="D72" s="21">
        <v>7.0000000000000007E-2</v>
      </c>
      <c r="E72" s="22">
        <f>+D72*B69</f>
        <v>700.00000000000011</v>
      </c>
      <c r="F72" s="23"/>
      <c r="G72" s="28" t="str">
        <f>C72</f>
        <v>Presentar estrategica por region  2020</v>
      </c>
      <c r="H72" s="45">
        <v>1</v>
      </c>
      <c r="I72" s="45"/>
      <c r="J72" s="25">
        <f>IFERROR(I72/H72,0)</f>
        <v>0</v>
      </c>
      <c r="K72" s="26">
        <f>IF(J72&lt;M72,0,J72*$E72)</f>
        <v>0</v>
      </c>
      <c r="M72" s="45">
        <v>1</v>
      </c>
    </row>
    <row r="73" spans="2:14" ht="14.25" customHeight="1">
      <c r="B73" s="307"/>
      <c r="C73" s="28" t="s">
        <v>26</v>
      </c>
      <c r="D73" s="58">
        <v>0.11</v>
      </c>
      <c r="E73" s="22">
        <f>+D73*B69</f>
        <v>1100</v>
      </c>
      <c r="F73" s="60"/>
      <c r="G73" s="28" t="str">
        <f>C73</f>
        <v xml:space="preserve">Presentar presupuesto lunes 6 de Diciembre </v>
      </c>
      <c r="H73" s="45">
        <v>1</v>
      </c>
      <c r="I73" s="45"/>
      <c r="J73" s="25">
        <f>IFERROR(I73/H73,0)</f>
        <v>0</v>
      </c>
      <c r="K73" s="26">
        <f>IF(J73&lt;M73,0,J73*$E73)</f>
        <v>0</v>
      </c>
      <c r="M73" s="45">
        <v>1</v>
      </c>
    </row>
    <row r="74" spans="2:14" ht="14.25" customHeight="1">
      <c r="B74" s="29"/>
      <c r="C74" s="30" t="s">
        <v>27</v>
      </c>
      <c r="D74" s="31">
        <f>SUM(D69:D73)</f>
        <v>0.99999999999999989</v>
      </c>
      <c r="E74" s="32">
        <f>SUM(E69:E73)</f>
        <v>10000</v>
      </c>
      <c r="F74" s="23"/>
      <c r="G74" s="33"/>
      <c r="J74" s="34" t="s">
        <v>28</v>
      </c>
      <c r="K74" s="35">
        <f>SUM(K70:K73)</f>
        <v>0</v>
      </c>
      <c r="M74" s="61"/>
    </row>
    <row r="75" spans="2:14" ht="15" customHeight="1">
      <c r="F75" s="23"/>
    </row>
    <row r="76" spans="2:14" ht="15" customHeight="1">
      <c r="F76" s="23"/>
      <c r="J76" s="38" t="s">
        <v>29</v>
      </c>
      <c r="K76" s="39">
        <f>+K74+K69</f>
        <v>0</v>
      </c>
    </row>
    <row r="77" spans="2:14" ht="14.25" customHeight="1">
      <c r="F77" s="23"/>
    </row>
    <row r="79" spans="2:14" ht="15" customHeight="1"/>
    <row r="80" spans="2:14" ht="21" customHeight="1">
      <c r="C80" s="308" t="s">
        <v>47</v>
      </c>
      <c r="D80" s="308"/>
      <c r="E80" s="308"/>
      <c r="F80" s="308"/>
      <c r="G80" s="308"/>
      <c r="H80" s="308"/>
      <c r="I80" s="308"/>
      <c r="J80" s="308"/>
    </row>
    <row r="82" spans="2:13" ht="14.25" customHeight="1">
      <c r="C82" s="303" t="s">
        <v>2</v>
      </c>
      <c r="D82" s="303"/>
      <c r="E82" s="4" t="s">
        <v>3</v>
      </c>
      <c r="F82" s="4"/>
      <c r="G82" s="303" t="s">
        <v>4</v>
      </c>
      <c r="H82" s="303"/>
      <c r="I82" s="304" t="s">
        <v>3</v>
      </c>
      <c r="J82" s="304"/>
    </row>
    <row r="83" spans="2:13" ht="14.25" customHeight="1">
      <c r="B83" s="5" t="s">
        <v>5</v>
      </c>
      <c r="C83" s="6" t="s">
        <v>6</v>
      </c>
      <c r="D83" s="7" t="s">
        <v>7</v>
      </c>
      <c r="E83" s="8" t="s">
        <v>8</v>
      </c>
      <c r="F83" s="8" t="s">
        <v>9</v>
      </c>
      <c r="G83" s="6" t="s">
        <v>6</v>
      </c>
      <c r="H83" s="7" t="s">
        <v>7</v>
      </c>
      <c r="I83" s="8" t="s">
        <v>10</v>
      </c>
      <c r="J83" s="9" t="s">
        <v>9</v>
      </c>
    </row>
    <row r="84" spans="2:13" ht="14.25" customHeight="1">
      <c r="B84" s="10" t="str">
        <f>$B$7</f>
        <v>MAYO</v>
      </c>
      <c r="C84" s="11">
        <f>'ESSENTIA MAYO'!O32</f>
        <v>62012.44</v>
      </c>
      <c r="D84" s="11">
        <f>'ESSENTIA MAYO'!N32</f>
        <v>27229.58</v>
      </c>
      <c r="E84" s="11">
        <f>D84-C84</f>
        <v>-34782.86</v>
      </c>
      <c r="F84" s="12">
        <f>D84/C84-1</f>
        <v>-0.56090132883015087</v>
      </c>
      <c r="G84" s="13">
        <f>'ESSENTIA MAYO'!G32</f>
        <v>1921652.59876</v>
      </c>
      <c r="H84" s="13">
        <f>'ESSENTIA MAYO'!F32</f>
        <v>1230583.96</v>
      </c>
      <c r="I84" s="13">
        <f>H84-G84</f>
        <v>-691068.63876</v>
      </c>
      <c r="J84" s="12">
        <f>H84/G84-1</f>
        <v>-0.35962204573601464</v>
      </c>
    </row>
    <row r="86" spans="2:13" ht="14.25" customHeight="1">
      <c r="B86" s="305" t="s">
        <v>12</v>
      </c>
      <c r="C86" s="305"/>
      <c r="D86" s="305"/>
      <c r="E86" s="305"/>
      <c r="F86" s="14"/>
      <c r="G86" s="306" t="s">
        <v>13</v>
      </c>
      <c r="H86" s="306"/>
      <c r="I86" s="306"/>
      <c r="J86" s="306"/>
      <c r="K86" s="306"/>
    </row>
    <row r="87" spans="2:13" ht="14.25" customHeight="1">
      <c r="B87" s="9" t="s">
        <v>14</v>
      </c>
      <c r="C87" s="9" t="s">
        <v>15</v>
      </c>
      <c r="D87" s="16" t="s">
        <v>16</v>
      </c>
      <c r="E87" s="9" t="s">
        <v>17</v>
      </c>
      <c r="F87" s="17"/>
      <c r="G87" s="9" t="s">
        <v>15</v>
      </c>
      <c r="H87" s="18" t="s">
        <v>18</v>
      </c>
      <c r="I87" s="9" t="s">
        <v>19</v>
      </c>
      <c r="J87" s="9" t="s">
        <v>20</v>
      </c>
      <c r="K87" s="9" t="s">
        <v>14</v>
      </c>
      <c r="M87" s="9" t="s">
        <v>21</v>
      </c>
    </row>
    <row r="88" spans="2:13" ht="14.25" customHeight="1">
      <c r="B88" s="307"/>
      <c r="C88" s="20" t="s">
        <v>22</v>
      </c>
      <c r="D88" s="21">
        <v>1</v>
      </c>
      <c r="E88" s="22">
        <f>+D88*B88</f>
        <v>0</v>
      </c>
      <c r="F88" s="23"/>
      <c r="G88" s="28" t="str">
        <f>C88</f>
        <v>Cumplimiento Presupuesto</v>
      </c>
      <c r="H88" s="24">
        <f>G84</f>
        <v>1921652.59876</v>
      </c>
      <c r="I88" s="41">
        <f>H84</f>
        <v>1230583.96</v>
      </c>
      <c r="J88" s="25">
        <f>IFERROR(I88/H88,0)</f>
        <v>0.64037795426398536</v>
      </c>
      <c r="K88" s="26">
        <f>IF(J88&lt;M88,0,J88*$E88)</f>
        <v>0</v>
      </c>
      <c r="M88" s="45">
        <v>0.8</v>
      </c>
    </row>
    <row r="89" spans="2:13" ht="14.25" customHeight="1">
      <c r="B89" s="307"/>
      <c r="C89" s="28"/>
      <c r="D89" s="21"/>
      <c r="E89" s="22">
        <f>B88*D89</f>
        <v>0</v>
      </c>
      <c r="F89" s="23"/>
      <c r="G89" s="28">
        <f>C89</f>
        <v>0</v>
      </c>
      <c r="H89" s="45">
        <v>1</v>
      </c>
      <c r="I89" s="59"/>
      <c r="J89" s="45">
        <f>I89/H89</f>
        <v>0</v>
      </c>
      <c r="K89" s="26">
        <f>IF(J89&lt;M89,0,J89*$E89)</f>
        <v>0</v>
      </c>
      <c r="M89" s="27">
        <v>0.8</v>
      </c>
    </row>
    <row r="90" spans="2:13" ht="14.25" customHeight="1">
      <c r="B90" s="307"/>
      <c r="C90" s="28"/>
      <c r="D90" s="21"/>
      <c r="E90" s="22">
        <f>+D90*B88</f>
        <v>0</v>
      </c>
      <c r="F90" s="23"/>
      <c r="G90" s="28">
        <f>C90</f>
        <v>0</v>
      </c>
      <c r="H90" s="45">
        <v>1</v>
      </c>
      <c r="I90" s="45"/>
      <c r="J90" s="25">
        <f>IFERROR(I90/H90,0)</f>
        <v>0</v>
      </c>
      <c r="K90" s="26">
        <f>IF(J90&lt;M90,0,J90*$E90)</f>
        <v>0</v>
      </c>
      <c r="M90" s="45">
        <v>1</v>
      </c>
    </row>
    <row r="91" spans="2:13" ht="14.25" customHeight="1">
      <c r="B91" s="307"/>
      <c r="C91" s="28"/>
      <c r="D91" s="21"/>
      <c r="E91" s="22">
        <f>+D91*B88</f>
        <v>0</v>
      </c>
      <c r="F91" s="23"/>
      <c r="G91" s="28">
        <f>C91</f>
        <v>0</v>
      </c>
      <c r="H91" s="45">
        <v>1</v>
      </c>
      <c r="I91" s="45"/>
      <c r="J91" s="25">
        <f>IFERROR(I91/H91,0)</f>
        <v>0</v>
      </c>
      <c r="K91" s="26">
        <f>IF(J91&lt;M91,0,J91*$E91)</f>
        <v>0</v>
      </c>
      <c r="M91" s="45">
        <v>1</v>
      </c>
    </row>
    <row r="92" spans="2:13" ht="14.25" customHeight="1">
      <c r="B92" s="307"/>
      <c r="C92" s="28"/>
      <c r="D92" s="58"/>
      <c r="E92" s="22">
        <f>+D92*B88</f>
        <v>0</v>
      </c>
      <c r="F92" s="60"/>
      <c r="G92" s="28">
        <f>C92</f>
        <v>0</v>
      </c>
      <c r="H92" s="45">
        <v>1</v>
      </c>
      <c r="I92" s="45"/>
      <c r="J92" s="25">
        <f>IFERROR(I92/H92,0)</f>
        <v>0</v>
      </c>
      <c r="K92" s="26">
        <f>IF(J92&lt;M92,0,J92*$E92)</f>
        <v>0</v>
      </c>
      <c r="M92" s="45">
        <v>1</v>
      </c>
    </row>
    <row r="93" spans="2:13" ht="14.25" customHeight="1">
      <c r="B93" s="29"/>
      <c r="C93" s="30" t="s">
        <v>27</v>
      </c>
      <c r="D93" s="31">
        <f>SUM(D88:D92)</f>
        <v>1</v>
      </c>
      <c r="E93" s="32">
        <f>SUM(E88:E92)</f>
        <v>0</v>
      </c>
      <c r="F93" s="23"/>
      <c r="G93" s="33"/>
      <c r="J93" s="34" t="s">
        <v>28</v>
      </c>
      <c r="K93" s="35">
        <f>SUM(K89:K92)</f>
        <v>0</v>
      </c>
      <c r="M93" s="61"/>
    </row>
    <row r="94" spans="2:13" ht="15" customHeight="1">
      <c r="F94" s="23"/>
    </row>
    <row r="95" spans="2:13" ht="15" customHeight="1">
      <c r="F95" s="23"/>
      <c r="J95" s="38" t="s">
        <v>29</v>
      </c>
      <c r="K95" s="39">
        <f>+K93+K88</f>
        <v>0</v>
      </c>
    </row>
    <row r="170" spans="14:17" ht="14.25" customHeight="1">
      <c r="N170" s="1">
        <v>3</v>
      </c>
      <c r="O170" s="1">
        <v>3.1</v>
      </c>
      <c r="P170" s="1">
        <f>+O170-N170</f>
        <v>0.10000000000000009</v>
      </c>
      <c r="Q170" s="1">
        <f>+P170/O170</f>
        <v>3.2258064516129059E-2</v>
      </c>
    </row>
    <row r="174" spans="14:17" ht="14.25" customHeight="1">
      <c r="P174" s="23">
        <f>2000*3*12</f>
        <v>72000</v>
      </c>
    </row>
    <row r="177" spans="16:16" ht="14.25" customHeight="1">
      <c r="P177" s="1">
        <f>2000*12</f>
        <v>24000</v>
      </c>
    </row>
  </sheetData>
  <mergeCells count="35">
    <mergeCell ref="B86:E86"/>
    <mergeCell ref="G86:K86"/>
    <mergeCell ref="B88:B92"/>
    <mergeCell ref="B67:E67"/>
    <mergeCell ref="G67:K67"/>
    <mergeCell ref="B69:B73"/>
    <mergeCell ref="C80:J80"/>
    <mergeCell ref="C82:D82"/>
    <mergeCell ref="G82:H82"/>
    <mergeCell ref="I82:J82"/>
    <mergeCell ref="B49:E49"/>
    <mergeCell ref="G49:K49"/>
    <mergeCell ref="B51:B54"/>
    <mergeCell ref="C61:J61"/>
    <mergeCell ref="C63:D63"/>
    <mergeCell ref="G63:H63"/>
    <mergeCell ref="I63:J63"/>
    <mergeCell ref="B30:E30"/>
    <mergeCell ref="C43:J43"/>
    <mergeCell ref="C45:D45"/>
    <mergeCell ref="G45:H45"/>
    <mergeCell ref="I45:J45"/>
    <mergeCell ref="B9:E9"/>
    <mergeCell ref="G9:K9"/>
    <mergeCell ref="B11:B15"/>
    <mergeCell ref="C24:J24"/>
    <mergeCell ref="C26:D26"/>
    <mergeCell ref="G26:H26"/>
    <mergeCell ref="I26:J26"/>
    <mergeCell ref="C1:I1"/>
    <mergeCell ref="C3:J3"/>
    <mergeCell ref="C5:D5"/>
    <mergeCell ref="E5:F5"/>
    <mergeCell ref="G5:H5"/>
    <mergeCell ref="I5:J5"/>
  </mergeCells>
  <conditionalFormatting sqref="J84">
    <cfRule type="iconSet" priority="2">
      <iconSet iconSet="3Arrows">
        <cfvo type="percent" val="0"/>
        <cfvo type="num" val="0"/>
        <cfvo type="num" val="0"/>
      </iconSet>
    </cfRule>
  </conditionalFormatting>
  <conditionalFormatting sqref="F84">
    <cfRule type="iconSet" priority="3">
      <iconSet iconSet="3Arrows">
        <cfvo type="percent" val="0"/>
        <cfvo type="num" val="0"/>
        <cfvo type="num" val="0"/>
      </iconSet>
    </cfRule>
  </conditionalFormatting>
  <conditionalFormatting sqref="J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5">
    <cfRule type="iconSet" priority="5">
      <iconSet iconSet="3Arrows">
        <cfvo type="percent" val="0"/>
        <cfvo type="num" val="0"/>
        <cfvo type="num" val="0"/>
      </iconSet>
    </cfRule>
  </conditionalFormatting>
  <conditionalFormatting sqref="J47">
    <cfRule type="iconSet" priority="6">
      <iconSet iconSet="3Arrows">
        <cfvo type="percent" val="0"/>
        <cfvo type="num" val="0"/>
        <cfvo type="num" val="0"/>
      </iconSet>
    </cfRule>
  </conditionalFormatting>
  <conditionalFormatting sqref="F47">
    <cfRule type="iconSet" priority="7">
      <iconSet iconSet="3Arrows">
        <cfvo type="percent" val="0"/>
        <cfvo type="num" val="0"/>
        <cfvo type="num" val="0"/>
      </iconSet>
    </cfRule>
  </conditionalFormatting>
  <conditionalFormatting sqref="J28">
    <cfRule type="iconSet" priority="8">
      <iconSet iconSet="3Arrows">
        <cfvo type="percent" val="0"/>
        <cfvo type="num" val="0"/>
        <cfvo type="num" val="0"/>
      </iconSet>
    </cfRule>
  </conditionalFormatting>
  <conditionalFormatting sqref="F28">
    <cfRule type="iconSet" priority="9">
      <iconSet iconSet="3Arrows">
        <cfvo type="percent" val="0"/>
        <cfvo type="num" val="0"/>
        <cfvo type="num" val="0"/>
      </iconSet>
    </cfRule>
  </conditionalFormatting>
  <conditionalFormatting sqref="J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7">
    <cfRule type="iconSet" priority="1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BE5D6"/>
  </sheetPr>
  <dimension ref="A2:T102"/>
  <sheetViews>
    <sheetView zoomScaleNormal="100" workbookViewId="0">
      <selection activeCell="G19" sqref="G19"/>
    </sheetView>
  </sheetViews>
  <sheetFormatPr baseColWidth="10" defaultColWidth="11.453125" defaultRowHeight="14.5"/>
  <cols>
    <col min="1" max="1" width="5.81640625" style="1" customWidth="1"/>
    <col min="2" max="2" width="4" style="1" customWidth="1"/>
    <col min="3" max="3" width="51.54296875" style="1" customWidth="1"/>
    <col min="4" max="4" width="10.1796875" style="1" customWidth="1"/>
    <col min="5" max="5" width="29.54296875" style="1" customWidth="1"/>
    <col min="6" max="7" width="11.1796875" style="1" customWidth="1"/>
    <col min="8" max="8" width="11.81640625" style="1" customWidth="1"/>
    <col min="9" max="9" width="8.81640625" style="1" customWidth="1"/>
    <col min="10" max="10" width="11.1796875" style="1" customWidth="1"/>
    <col min="11" max="11" width="10.81640625" style="1" customWidth="1"/>
    <col min="12" max="12" width="9" style="1" customWidth="1"/>
    <col min="13" max="13" width="8.81640625" style="1" customWidth="1"/>
    <col min="14" max="15" width="7.54296875" style="1" customWidth="1"/>
    <col min="16" max="16" width="8.1796875" style="1" customWidth="1"/>
    <col min="17" max="17" width="9.81640625" style="1" customWidth="1"/>
    <col min="18" max="18" width="7.54296875" style="1" customWidth="1"/>
    <col min="19" max="19" width="8.1796875" style="1" customWidth="1"/>
    <col min="20" max="20" width="7.81640625" style="1" customWidth="1"/>
  </cols>
  <sheetData>
    <row r="2" spans="4:20" ht="15" customHeight="1"/>
    <row r="3" spans="4:20" ht="15" customHeight="1">
      <c r="E3" s="64" t="s">
        <v>48</v>
      </c>
      <c r="F3" s="310" t="s">
        <v>49</v>
      </c>
      <c r="G3" s="310"/>
      <c r="H3" s="310"/>
      <c r="I3" s="310"/>
      <c r="J3" s="310"/>
      <c r="K3" s="310"/>
      <c r="L3" s="310"/>
      <c r="N3" s="310" t="s">
        <v>50</v>
      </c>
      <c r="O3" s="310"/>
      <c r="P3" s="310"/>
      <c r="Q3" s="310"/>
      <c r="R3" s="310"/>
      <c r="S3" s="310"/>
      <c r="T3" s="310"/>
    </row>
    <row r="4" spans="4:20" ht="14.25" customHeight="1">
      <c r="D4" s="65" t="s">
        <v>51</v>
      </c>
      <c r="E4" s="66" t="s">
        <v>52</v>
      </c>
      <c r="F4" s="67">
        <v>2020</v>
      </c>
      <c r="G4" s="67" t="s">
        <v>53</v>
      </c>
      <c r="H4" s="68" t="s">
        <v>54</v>
      </c>
      <c r="I4" s="69" t="s">
        <v>55</v>
      </c>
      <c r="J4" s="67">
        <v>2019</v>
      </c>
      <c r="K4" s="68" t="s">
        <v>54</v>
      </c>
      <c r="L4" s="69" t="s">
        <v>55</v>
      </c>
      <c r="N4" s="67">
        <v>2020</v>
      </c>
      <c r="O4" s="67" t="s">
        <v>53</v>
      </c>
      <c r="P4" s="68" t="s">
        <v>54</v>
      </c>
      <c r="Q4" s="69" t="s">
        <v>55</v>
      </c>
      <c r="R4" s="67">
        <v>2019</v>
      </c>
      <c r="S4" s="68" t="s">
        <v>54</v>
      </c>
      <c r="T4" s="69" t="s">
        <v>55</v>
      </c>
    </row>
    <row r="5" spans="4:20" ht="14.25" customHeight="1">
      <c r="D5" s="70">
        <v>1</v>
      </c>
      <c r="E5" s="71" t="s">
        <v>56</v>
      </c>
      <c r="F5" s="72">
        <v>4759735.05</v>
      </c>
      <c r="G5" s="73">
        <v>5222673.8000453198</v>
      </c>
      <c r="H5" s="74">
        <v>-462938.75004531897</v>
      </c>
      <c r="I5" s="75">
        <v>-8.8640180828697707E-2</v>
      </c>
      <c r="J5" s="73">
        <v>6271545.0599999996</v>
      </c>
      <c r="K5" s="74">
        <v>-1511810.01</v>
      </c>
      <c r="L5" s="75">
        <v>-0.241058622004065</v>
      </c>
      <c r="N5" s="76">
        <v>145456.33600000001</v>
      </c>
      <c r="O5" s="77">
        <v>163834.10630000001</v>
      </c>
      <c r="P5" s="78">
        <v>-18377.7703</v>
      </c>
      <c r="Q5" s="75">
        <v>-0.112173043299959</v>
      </c>
      <c r="R5" s="77">
        <v>192081.3799</v>
      </c>
      <c r="S5" s="78">
        <v>-46625.043899999997</v>
      </c>
      <c r="T5" s="75">
        <v>-0.242735885822319</v>
      </c>
    </row>
    <row r="6" spans="4:20" ht="14.25" customHeight="1">
      <c r="D6" s="70">
        <v>2</v>
      </c>
      <c r="E6" s="71" t="s">
        <v>57</v>
      </c>
      <c r="F6" s="72">
        <v>1727675.26</v>
      </c>
      <c r="G6" s="73">
        <v>2421147.8816999998</v>
      </c>
      <c r="H6" s="74">
        <v>-693472.62170000095</v>
      </c>
      <c r="I6" s="75">
        <v>-0.28642307516262999</v>
      </c>
      <c r="J6" s="73">
        <v>4500988.3899999997</v>
      </c>
      <c r="K6" s="74">
        <v>-2773313.13</v>
      </c>
      <c r="L6" s="75">
        <v>-0.61615647268976903</v>
      </c>
      <c r="N6" s="76">
        <v>23178.991999999998</v>
      </c>
      <c r="O6" s="77">
        <v>36553</v>
      </c>
      <c r="P6" s="78">
        <v>-13374.008</v>
      </c>
      <c r="Q6" s="75">
        <v>-0.36587990041856999</v>
      </c>
      <c r="R6" s="77">
        <v>76959.839800000002</v>
      </c>
      <c r="S6" s="78">
        <v>-53780.847800000003</v>
      </c>
      <c r="T6" s="75">
        <v>-0.69881704457498095</v>
      </c>
    </row>
    <row r="7" spans="4:20" ht="14.25" customHeight="1">
      <c r="D7" s="70">
        <v>3</v>
      </c>
      <c r="E7" s="71" t="s">
        <v>147</v>
      </c>
      <c r="F7" s="72">
        <v>1230583.96</v>
      </c>
      <c r="G7" s="73">
        <v>1926823.77626</v>
      </c>
      <c r="H7" s="74">
        <v>-696239.81626000104</v>
      </c>
      <c r="I7" s="75">
        <v>-0.361340681404407</v>
      </c>
      <c r="J7" s="73">
        <v>1786123.75</v>
      </c>
      <c r="K7" s="74">
        <v>-555539.79000000097</v>
      </c>
      <c r="L7" s="75">
        <v>-0.31103096300018401</v>
      </c>
      <c r="N7" s="76">
        <v>27229.58</v>
      </c>
      <c r="O7" s="77">
        <v>62035.44</v>
      </c>
      <c r="P7" s="78">
        <v>-34805.86</v>
      </c>
      <c r="Q7" s="75">
        <v>-0.56106412721502397</v>
      </c>
      <c r="R7" s="77">
        <v>57409.095099999999</v>
      </c>
      <c r="S7" s="78">
        <v>-30179.515100000001</v>
      </c>
      <c r="T7" s="75">
        <v>-0.52569222781565805</v>
      </c>
    </row>
    <row r="8" spans="4:20" ht="14.25" customHeight="1">
      <c r="D8" s="70">
        <v>4</v>
      </c>
      <c r="E8" s="71" t="s">
        <v>132</v>
      </c>
      <c r="F8" s="72">
        <v>1019534.2</v>
      </c>
      <c r="G8" s="73">
        <v>2035056.6632000001</v>
      </c>
      <c r="H8" s="74">
        <v>-1015522.4632</v>
      </c>
      <c r="I8" s="75">
        <v>-0.49901434272751599</v>
      </c>
      <c r="J8" s="73">
        <v>2401929.9</v>
      </c>
      <c r="K8" s="74">
        <v>-1382395.7</v>
      </c>
      <c r="L8" s="75">
        <v>-0.57553540592504404</v>
      </c>
      <c r="N8" s="76">
        <v>46994.84</v>
      </c>
      <c r="O8" s="77">
        <v>97410.2</v>
      </c>
      <c r="P8" s="78">
        <v>-50415.360000000001</v>
      </c>
      <c r="Q8" s="75">
        <v>-0.51755729892762803</v>
      </c>
      <c r="R8" s="77">
        <v>119432.52</v>
      </c>
      <c r="S8" s="78">
        <v>-72437.679999999993</v>
      </c>
      <c r="T8" s="75">
        <v>-0.60651554534728103</v>
      </c>
    </row>
    <row r="9" spans="4:20" ht="14.25" customHeight="1">
      <c r="D9" s="70">
        <v>5</v>
      </c>
      <c r="E9" s="71" t="s">
        <v>59</v>
      </c>
      <c r="F9" s="72">
        <v>51637.01</v>
      </c>
      <c r="G9" s="73">
        <v>105915.852</v>
      </c>
      <c r="H9" s="74">
        <v>-54278.841999999997</v>
      </c>
      <c r="I9" s="75">
        <v>-0.51247137208507698</v>
      </c>
      <c r="J9" s="73">
        <v>150475.75</v>
      </c>
      <c r="K9" s="74">
        <v>-98838.74</v>
      </c>
      <c r="L9" s="75">
        <v>-0.65684165056495802</v>
      </c>
      <c r="N9" s="76">
        <v>50</v>
      </c>
      <c r="O9" s="77">
        <v>120</v>
      </c>
      <c r="P9" s="78">
        <v>-70</v>
      </c>
      <c r="Q9" s="75">
        <v>-0.58333333333333304</v>
      </c>
      <c r="R9" s="77">
        <v>180</v>
      </c>
      <c r="S9" s="78">
        <v>-130</v>
      </c>
      <c r="T9" s="75">
        <v>-0.72222222222222199</v>
      </c>
    </row>
    <row r="10" spans="4:20" ht="14.25" customHeight="1">
      <c r="D10" s="70">
        <v>6</v>
      </c>
      <c r="E10" s="71" t="s">
        <v>60</v>
      </c>
      <c r="F10" s="72">
        <v>1332231.96</v>
      </c>
      <c r="G10" s="73">
        <v>1363846.4825279999</v>
      </c>
      <c r="H10" s="74">
        <v>-31614.522527999899</v>
      </c>
      <c r="I10" s="75">
        <v>-2.3180411382811801E-2</v>
      </c>
      <c r="J10" s="73">
        <v>1472631.88</v>
      </c>
      <c r="K10" s="74">
        <v>-140399.92000000001</v>
      </c>
      <c r="L10" s="75">
        <v>-9.5339454419525294E-2</v>
      </c>
      <c r="N10" s="76">
        <v>21286.486000000001</v>
      </c>
      <c r="O10" s="77">
        <v>21942.61</v>
      </c>
      <c r="P10" s="78">
        <v>-656.12400000000298</v>
      </c>
      <c r="Q10" s="75">
        <v>-2.9901821159834901E-2</v>
      </c>
      <c r="R10" s="77">
        <v>22572.625</v>
      </c>
      <c r="S10" s="78">
        <v>-1286.1389999999999</v>
      </c>
      <c r="T10" s="75">
        <v>-5.6977821586988803E-2</v>
      </c>
    </row>
    <row r="11" spans="4:20" ht="14.25" customHeight="1">
      <c r="D11" s="70">
        <v>7</v>
      </c>
      <c r="E11" s="71" t="s">
        <v>61</v>
      </c>
      <c r="F11" s="72">
        <v>1452368.42</v>
      </c>
      <c r="G11" s="73">
        <v>1740218.5677875299</v>
      </c>
      <c r="H11" s="74">
        <v>-287850.147787533</v>
      </c>
      <c r="I11" s="75">
        <v>-0.165410341617891</v>
      </c>
      <c r="J11" s="73">
        <v>1554864.49</v>
      </c>
      <c r="K11" s="74">
        <v>-102496.070000001</v>
      </c>
      <c r="L11" s="75">
        <v>-6.59196159274308E-2</v>
      </c>
      <c r="N11" s="76">
        <v>26639.24</v>
      </c>
      <c r="O11" s="77">
        <v>29061.691995000001</v>
      </c>
      <c r="P11" s="78">
        <v>-2422.4519949999999</v>
      </c>
      <c r="Q11" s="75">
        <v>-8.3355504401353295E-2</v>
      </c>
      <c r="R11" s="77">
        <v>27677.801899999999</v>
      </c>
      <c r="S11" s="78">
        <v>-1038.5618999999999</v>
      </c>
      <c r="T11" s="75">
        <v>-3.7523279621420998E-2</v>
      </c>
    </row>
    <row r="12" spans="4:20" ht="14.25" customHeight="1">
      <c r="F12" s="79">
        <f>SUM(F5:F11)</f>
        <v>11573765.859999998</v>
      </c>
      <c r="G12" s="79">
        <f>SUM(G5:G11)</f>
        <v>14815683.02352085</v>
      </c>
      <c r="H12" s="79">
        <f>F12-G12</f>
        <v>-3241917.1635208521</v>
      </c>
      <c r="I12" s="80">
        <f>IFERROR(F12/G12-1,0)</f>
        <v>-0.21881658499132983</v>
      </c>
      <c r="J12" s="79">
        <f>SUM(J5:J11)</f>
        <v>18138559.219999999</v>
      </c>
      <c r="K12" s="79">
        <f>F12-J12</f>
        <v>-6564793.3600000013</v>
      </c>
      <c r="L12" s="80">
        <f>IFERROR(F12/J12-1,0)</f>
        <v>-0.36192474167195743</v>
      </c>
      <c r="N12" s="81">
        <f>SUM(N5:N11)</f>
        <v>290835.47399999999</v>
      </c>
      <c r="O12" s="81">
        <f>SUM(O5:O11)</f>
        <v>410957.04829500004</v>
      </c>
      <c r="P12" s="81">
        <f>N12-O12</f>
        <v>-120121.57429500006</v>
      </c>
      <c r="Q12" s="80">
        <f>IFERROR(N12/O12-1,0)</f>
        <v>-0.29229715074450402</v>
      </c>
      <c r="R12" s="81">
        <f>SUM(R5:R11)</f>
        <v>496313.26170000003</v>
      </c>
      <c r="S12" s="81">
        <f>N12-R12</f>
        <v>-205477.78770000004</v>
      </c>
      <c r="T12" s="80">
        <f>IFERROR(N12/R12-1,0)</f>
        <v>-0.41400825558476106</v>
      </c>
    </row>
    <row r="14" spans="4:20" ht="15" customHeight="1"/>
    <row r="15" spans="4:20" ht="15" customHeight="1">
      <c r="E15" s="64" t="s">
        <v>62</v>
      </c>
      <c r="F15" s="310" t="s">
        <v>49</v>
      </c>
      <c r="G15" s="310"/>
      <c r="H15" s="310"/>
      <c r="I15" s="310"/>
      <c r="J15" s="310"/>
      <c r="K15" s="310"/>
      <c r="L15" s="310"/>
      <c r="N15" s="310" t="s">
        <v>50</v>
      </c>
      <c r="O15" s="310"/>
      <c r="P15" s="310"/>
      <c r="Q15" s="310"/>
      <c r="R15" s="310"/>
      <c r="S15" s="310"/>
      <c r="T15" s="310"/>
    </row>
    <row r="16" spans="4:20" ht="14.25" customHeight="1">
      <c r="D16" s="65" t="s">
        <v>51</v>
      </c>
      <c r="E16" s="66" t="s">
        <v>52</v>
      </c>
      <c r="F16" s="67">
        <v>2020</v>
      </c>
      <c r="G16" s="67" t="s">
        <v>53</v>
      </c>
      <c r="H16" s="68" t="s">
        <v>54</v>
      </c>
      <c r="I16" s="69" t="s">
        <v>55</v>
      </c>
      <c r="J16" s="67">
        <v>2019</v>
      </c>
      <c r="K16" s="68" t="s">
        <v>54</v>
      </c>
      <c r="L16" s="69" t="s">
        <v>55</v>
      </c>
      <c r="N16" s="67">
        <v>2020</v>
      </c>
      <c r="O16" s="67" t="s">
        <v>53</v>
      </c>
      <c r="P16" s="68" t="s">
        <v>54</v>
      </c>
      <c r="Q16" s="69" t="s">
        <v>55</v>
      </c>
      <c r="R16" s="67">
        <v>2019</v>
      </c>
      <c r="S16" s="68" t="s">
        <v>54</v>
      </c>
      <c r="T16" s="69" t="s">
        <v>55</v>
      </c>
    </row>
    <row r="17" spans="4:20" ht="14.25" customHeight="1">
      <c r="D17" s="70">
        <v>1</v>
      </c>
      <c r="E17" s="71" t="s">
        <v>56</v>
      </c>
      <c r="F17" s="72"/>
      <c r="G17" s="73">
        <f>SUM(L44:L55)</f>
        <v>-52096.753625000005</v>
      </c>
      <c r="H17" s="74"/>
      <c r="I17" s="75"/>
      <c r="J17" s="73"/>
      <c r="K17" s="74"/>
      <c r="L17" s="75"/>
      <c r="N17" s="76"/>
      <c r="O17" s="77">
        <f>SUM(H44:H55)</f>
        <v>-205.35000000000002</v>
      </c>
      <c r="P17" s="78"/>
      <c r="Q17" s="75"/>
      <c r="R17" s="77"/>
      <c r="S17" s="78"/>
      <c r="T17" s="75"/>
    </row>
    <row r="18" spans="4:20" ht="14.25" customHeight="1">
      <c r="D18" s="70">
        <v>2</v>
      </c>
      <c r="E18" s="71" t="s">
        <v>57</v>
      </c>
      <c r="F18" s="72"/>
      <c r="G18" s="73"/>
      <c r="H18" s="74"/>
      <c r="I18" s="75"/>
      <c r="J18" s="73"/>
      <c r="K18" s="74"/>
      <c r="L18" s="75"/>
      <c r="N18" s="76"/>
      <c r="O18" s="77"/>
      <c r="P18" s="78"/>
      <c r="Q18" s="75"/>
      <c r="R18" s="77"/>
      <c r="S18" s="78"/>
      <c r="T18" s="75"/>
    </row>
    <row r="19" spans="4:20" ht="14.25" customHeight="1">
      <c r="D19" s="70">
        <v>3</v>
      </c>
      <c r="E19" s="71" t="s">
        <v>131</v>
      </c>
      <c r="F19" s="72"/>
      <c r="G19" s="73">
        <f>SUM(L73:L76)</f>
        <v>-5171.177499999998</v>
      </c>
      <c r="H19" s="74"/>
      <c r="I19" s="75"/>
      <c r="J19" s="73"/>
      <c r="K19" s="74"/>
      <c r="L19" s="75"/>
      <c r="N19" s="76"/>
      <c r="O19" s="77">
        <f>SUM(H73:H76)</f>
        <v>-23</v>
      </c>
      <c r="P19" s="78"/>
      <c r="Q19" s="75"/>
      <c r="R19" s="77"/>
      <c r="S19" s="78"/>
      <c r="T19" s="75"/>
    </row>
    <row r="20" spans="4:20" ht="14.25" customHeight="1">
      <c r="D20" s="70">
        <v>4</v>
      </c>
      <c r="E20" s="71" t="s">
        <v>132</v>
      </c>
      <c r="F20" s="72"/>
      <c r="G20" s="73"/>
      <c r="H20" s="74"/>
      <c r="I20" s="75"/>
      <c r="J20" s="73"/>
      <c r="K20" s="74"/>
      <c r="L20" s="75"/>
      <c r="N20" s="76"/>
      <c r="O20" s="77"/>
      <c r="P20" s="78"/>
      <c r="Q20" s="75"/>
      <c r="R20" s="77"/>
      <c r="S20" s="78"/>
      <c r="T20" s="75"/>
    </row>
    <row r="21" spans="4:20" ht="14.25" customHeight="1">
      <c r="D21" s="70">
        <v>5</v>
      </c>
      <c r="E21" s="71" t="s">
        <v>59</v>
      </c>
      <c r="F21" s="72"/>
      <c r="G21" s="73"/>
      <c r="H21" s="74"/>
      <c r="I21" s="75"/>
      <c r="J21" s="73"/>
      <c r="K21" s="74"/>
      <c r="L21" s="75"/>
      <c r="N21" s="76"/>
      <c r="O21" s="77"/>
      <c r="P21" s="78"/>
      <c r="Q21" s="75"/>
      <c r="R21" s="77"/>
      <c r="S21" s="78"/>
      <c r="T21" s="75"/>
    </row>
    <row r="22" spans="4:20" ht="14.25" customHeight="1">
      <c r="D22" s="70">
        <v>6</v>
      </c>
      <c r="E22" s="71" t="s">
        <v>60</v>
      </c>
      <c r="F22" s="72"/>
      <c r="G22" s="73">
        <f>SUM(L84:L90)</f>
        <v>-64562.694499999991</v>
      </c>
      <c r="H22" s="74"/>
      <c r="I22" s="75"/>
      <c r="J22" s="73"/>
      <c r="K22" s="74"/>
      <c r="L22" s="75"/>
      <c r="N22" s="76"/>
      <c r="O22" s="77">
        <f>SUM(H84:H90)</f>
        <v>-230</v>
      </c>
      <c r="P22" s="78"/>
      <c r="Q22" s="75"/>
      <c r="R22" s="77"/>
      <c r="S22" s="78"/>
      <c r="T22" s="75"/>
    </row>
    <row r="23" spans="4:20" ht="14.25" customHeight="1">
      <c r="D23" s="70">
        <v>7</v>
      </c>
      <c r="E23" s="71" t="s">
        <v>61</v>
      </c>
      <c r="F23" s="72"/>
      <c r="G23" s="73">
        <f>SUM(L98:L101)</f>
        <v>-45532.952724999996</v>
      </c>
      <c r="H23" s="74"/>
      <c r="I23" s="75"/>
      <c r="J23" s="73"/>
      <c r="K23" s="74"/>
      <c r="L23" s="75"/>
      <c r="N23" s="76"/>
      <c r="O23" s="77">
        <f>SUM(H98:H101)</f>
        <v>-159.55000000000001</v>
      </c>
      <c r="P23" s="78"/>
      <c r="Q23" s="75"/>
      <c r="R23" s="77"/>
      <c r="S23" s="78"/>
      <c r="T23" s="75"/>
    </row>
    <row r="24" spans="4:20" ht="14.25" customHeight="1">
      <c r="F24" s="79">
        <f>SUM(F17:F23)</f>
        <v>0</v>
      </c>
      <c r="G24" s="79">
        <f>SUM(G17:G23)</f>
        <v>-167363.57834999997</v>
      </c>
      <c r="H24" s="79">
        <f>F24-G24</f>
        <v>167363.57834999997</v>
      </c>
      <c r="I24" s="80">
        <f>IFERROR(F24/G24-1,0)</f>
        <v>-1</v>
      </c>
      <c r="J24" s="79">
        <f>SUM(J17:J23)</f>
        <v>0</v>
      </c>
      <c r="K24" s="79">
        <f>F24-J24</f>
        <v>0</v>
      </c>
      <c r="L24" s="80">
        <f>IFERROR(F24/J24-1,0)</f>
        <v>0</v>
      </c>
      <c r="N24" s="81">
        <f>SUM(N17:N23)</f>
        <v>0</v>
      </c>
      <c r="O24" s="81">
        <f>SUM(O17:O23)</f>
        <v>-617.90000000000009</v>
      </c>
      <c r="P24" s="81">
        <f>N24-O24</f>
        <v>617.90000000000009</v>
      </c>
      <c r="Q24" s="80">
        <f>IFERROR(N24/O24-1,0)</f>
        <v>-1</v>
      </c>
      <c r="R24" s="81">
        <f>SUM(R17:R23)</f>
        <v>0</v>
      </c>
      <c r="S24" s="81">
        <f>N24-R24</f>
        <v>0</v>
      </c>
      <c r="T24" s="80">
        <f>IFERROR(N24/R24-1,0)</f>
        <v>0</v>
      </c>
    </row>
    <row r="27" spans="4:20" ht="15" customHeight="1"/>
    <row r="28" spans="4:20" ht="15" customHeight="1">
      <c r="E28" s="64" t="s">
        <v>63</v>
      </c>
      <c r="F28" s="310" t="s">
        <v>49</v>
      </c>
      <c r="G28" s="310"/>
      <c r="H28" s="310"/>
      <c r="I28" s="310"/>
      <c r="J28" s="310"/>
      <c r="K28" s="310"/>
      <c r="L28" s="310"/>
      <c r="N28" s="310" t="s">
        <v>50</v>
      </c>
      <c r="O28" s="310"/>
      <c r="P28" s="310"/>
      <c r="Q28" s="310"/>
      <c r="R28" s="310"/>
      <c r="S28" s="310"/>
      <c r="T28" s="310"/>
    </row>
    <row r="29" spans="4:20" ht="14.25" customHeight="1">
      <c r="D29" s="65" t="s">
        <v>51</v>
      </c>
      <c r="E29" s="66" t="s">
        <v>52</v>
      </c>
      <c r="F29" s="67">
        <v>2020</v>
      </c>
      <c r="G29" s="67" t="s">
        <v>53</v>
      </c>
      <c r="H29" s="68" t="s">
        <v>54</v>
      </c>
      <c r="I29" s="69" t="s">
        <v>55</v>
      </c>
      <c r="J29" s="67">
        <v>2019</v>
      </c>
      <c r="K29" s="68" t="s">
        <v>54</v>
      </c>
      <c r="L29" s="69" t="s">
        <v>55</v>
      </c>
      <c r="N29" s="67">
        <v>2020</v>
      </c>
      <c r="O29" s="67" t="s">
        <v>53</v>
      </c>
      <c r="P29" s="68" t="s">
        <v>54</v>
      </c>
      <c r="Q29" s="69" t="s">
        <v>55</v>
      </c>
      <c r="R29" s="67">
        <v>2019</v>
      </c>
      <c r="S29" s="68" t="s">
        <v>54</v>
      </c>
      <c r="T29" s="69" t="s">
        <v>55</v>
      </c>
    </row>
    <row r="30" spans="4:20" ht="14.25" customHeight="1">
      <c r="D30" s="70">
        <v>1</v>
      </c>
      <c r="E30" s="71" t="s">
        <v>56</v>
      </c>
      <c r="F30" s="72">
        <f>F5</f>
        <v>4759735.05</v>
      </c>
      <c r="G30" s="73">
        <f>G5+G17</f>
        <v>5170577.0464203199</v>
      </c>
      <c r="H30" s="74">
        <f t="shared" ref="H30:H37" si="0">F30-G30</f>
        <v>-410841.99642032012</v>
      </c>
      <c r="I30" s="75">
        <f t="shared" ref="I30:I37" si="1">IFERROR(F30/G30-1,0)</f>
        <v>-7.9457668405647941E-2</v>
      </c>
      <c r="J30" s="73">
        <v>5842159.1699999999</v>
      </c>
      <c r="K30" s="74">
        <f t="shared" ref="K30:K37" si="2">F30-J30</f>
        <v>-1082424.1200000001</v>
      </c>
      <c r="L30" s="75">
        <f t="shared" ref="L30:L37" si="3">IFERROR(F30/J30-1,0)</f>
        <v>-0.18527809470826184</v>
      </c>
      <c r="N30" s="76">
        <f>N5</f>
        <v>145456.33600000001</v>
      </c>
      <c r="O30" s="77">
        <f>O5+O17</f>
        <v>163628.75630000001</v>
      </c>
      <c r="P30" s="78">
        <f t="shared" ref="P30:P37" si="4">N30-O30</f>
        <v>-18172.420299999998</v>
      </c>
      <c r="Q30" s="75">
        <f t="shared" ref="Q30:Q37" si="5">IFERROR(N30/O30-1,0)</f>
        <v>-0.11105884265649701</v>
      </c>
      <c r="R30" s="77">
        <v>173656.21239999999</v>
      </c>
      <c r="S30" s="78">
        <f t="shared" ref="S30:S37" si="6">N30-R30</f>
        <v>-28199.876399999979</v>
      </c>
      <c r="T30" s="75">
        <f t="shared" ref="T30:T37" si="7">IFERROR(N30/R30-1,0)</f>
        <v>-0.1623891020670446</v>
      </c>
    </row>
    <row r="31" spans="4:20" ht="14.25" customHeight="1">
      <c r="D31" s="70">
        <v>2</v>
      </c>
      <c r="E31" s="71" t="s">
        <v>57</v>
      </c>
      <c r="F31" s="72">
        <f>F6</f>
        <v>1727675.26</v>
      </c>
      <c r="G31" s="73">
        <f>G6+G18</f>
        <v>2421147.8816999998</v>
      </c>
      <c r="H31" s="74">
        <f t="shared" si="0"/>
        <v>-693472.62169999979</v>
      </c>
      <c r="I31" s="75">
        <f t="shared" si="1"/>
        <v>-0.28642307516262933</v>
      </c>
      <c r="J31" s="73">
        <v>2674387.91</v>
      </c>
      <c r="K31" s="74">
        <f t="shared" si="2"/>
        <v>-946712.65000000014</v>
      </c>
      <c r="L31" s="75">
        <f t="shared" si="3"/>
        <v>-0.35399227107633768</v>
      </c>
      <c r="N31" s="76">
        <f>N6</f>
        <v>23178.991999999998</v>
      </c>
      <c r="O31" s="77">
        <f>O6+O18</f>
        <v>36553</v>
      </c>
      <c r="P31" s="78">
        <f t="shared" si="4"/>
        <v>-13374.008000000002</v>
      </c>
      <c r="Q31" s="75">
        <f t="shared" si="5"/>
        <v>-0.36587990041857033</v>
      </c>
      <c r="R31" s="77">
        <v>47224.029699999999</v>
      </c>
      <c r="S31" s="78">
        <f t="shared" si="6"/>
        <v>-24045.037700000001</v>
      </c>
      <c r="T31" s="75">
        <f t="shared" si="7"/>
        <v>-0.5091695446735669</v>
      </c>
    </row>
    <row r="32" spans="4:20" ht="14.25" customHeight="1">
      <c r="D32" s="70">
        <v>3</v>
      </c>
      <c r="E32" s="71" t="s">
        <v>131</v>
      </c>
      <c r="F32" s="72">
        <f>F7</f>
        <v>1230583.96</v>
      </c>
      <c r="G32" s="73">
        <f>G7+G19</f>
        <v>1921652.59876</v>
      </c>
      <c r="H32" s="74">
        <f t="shared" si="0"/>
        <v>-691068.63876</v>
      </c>
      <c r="I32" s="75">
        <f t="shared" si="1"/>
        <v>-0.35962204573601464</v>
      </c>
      <c r="J32" s="73">
        <v>1403179.91</v>
      </c>
      <c r="K32" s="74">
        <f t="shared" si="2"/>
        <v>-172595.94999999995</v>
      </c>
      <c r="L32" s="75">
        <f t="shared" si="3"/>
        <v>-0.12300343581743556</v>
      </c>
      <c r="N32" s="76">
        <f>N7</f>
        <v>27229.58</v>
      </c>
      <c r="O32" s="77">
        <f>O7+O19</f>
        <v>62012.44</v>
      </c>
      <c r="P32" s="78">
        <f t="shared" si="4"/>
        <v>-34782.86</v>
      </c>
      <c r="Q32" s="75">
        <f t="shared" si="5"/>
        <v>-0.56090132883015087</v>
      </c>
      <c r="R32" s="77">
        <v>36118.063900000001</v>
      </c>
      <c r="S32" s="78">
        <f t="shared" si="6"/>
        <v>-8888.4838999999993</v>
      </c>
      <c r="T32" s="75">
        <f t="shared" si="7"/>
        <v>-0.24609524820072093</v>
      </c>
    </row>
    <row r="33" spans="1:20" ht="14.25" customHeight="1">
      <c r="D33" s="70">
        <v>4</v>
      </c>
      <c r="E33" s="71" t="s">
        <v>132</v>
      </c>
      <c r="F33" s="72">
        <f>F8</f>
        <v>1019534.2</v>
      </c>
      <c r="G33" s="73">
        <f>G8+G20</f>
        <v>2035056.6632000001</v>
      </c>
      <c r="H33" s="74">
        <f t="shared" si="0"/>
        <v>-1015522.4632000001</v>
      </c>
      <c r="I33" s="75">
        <f t="shared" si="1"/>
        <v>-0.4990143427275161</v>
      </c>
      <c r="J33" s="73">
        <v>1816329.76</v>
      </c>
      <c r="K33" s="74">
        <f t="shared" si="2"/>
        <v>-796795.56</v>
      </c>
      <c r="L33" s="75">
        <f t="shared" si="3"/>
        <v>-0.43868441598402264</v>
      </c>
      <c r="N33" s="76">
        <f>N8</f>
        <v>46994.84</v>
      </c>
      <c r="O33" s="77">
        <f>O8+O20</f>
        <v>97410.2</v>
      </c>
      <c r="P33" s="78">
        <f t="shared" si="4"/>
        <v>-50415.360000000001</v>
      </c>
      <c r="Q33" s="75">
        <f t="shared" si="5"/>
        <v>-0.51755729892762781</v>
      </c>
      <c r="R33" s="77">
        <v>79547.88</v>
      </c>
      <c r="S33" s="78">
        <f t="shared" si="6"/>
        <v>-32553.040000000008</v>
      </c>
      <c r="T33" s="75">
        <f t="shared" si="7"/>
        <v>-0.4092257392654588</v>
      </c>
    </row>
    <row r="34" spans="1:20" ht="14.25" customHeight="1">
      <c r="D34" s="70">
        <v>5</v>
      </c>
      <c r="E34" s="71" t="s">
        <v>59</v>
      </c>
      <c r="F34" s="72">
        <f>F9</f>
        <v>51637.01</v>
      </c>
      <c r="G34" s="73">
        <f>G9+G21</f>
        <v>105915.852</v>
      </c>
      <c r="H34" s="74">
        <f t="shared" si="0"/>
        <v>-54278.841999999997</v>
      </c>
      <c r="I34" s="75">
        <f t="shared" si="1"/>
        <v>-0.51247137208507754</v>
      </c>
      <c r="J34" s="73">
        <v>191931.4</v>
      </c>
      <c r="K34" s="74">
        <f t="shared" si="2"/>
        <v>-140294.38999999998</v>
      </c>
      <c r="L34" s="75">
        <f t="shared" si="3"/>
        <v>-0.73096111423143895</v>
      </c>
      <c r="N34" s="76">
        <f>N9</f>
        <v>50</v>
      </c>
      <c r="O34" s="77">
        <f>O9+O21</f>
        <v>120</v>
      </c>
      <c r="P34" s="78">
        <f t="shared" si="4"/>
        <v>-70</v>
      </c>
      <c r="Q34" s="75">
        <f t="shared" si="5"/>
        <v>-0.58333333333333326</v>
      </c>
      <c r="R34" s="77">
        <v>230</v>
      </c>
      <c r="S34" s="78">
        <f t="shared" si="6"/>
        <v>-180</v>
      </c>
      <c r="T34" s="75">
        <f t="shared" si="7"/>
        <v>-0.78260869565217395</v>
      </c>
    </row>
    <row r="35" spans="1:20" ht="14.25" customHeight="1">
      <c r="D35" s="70">
        <v>6</v>
      </c>
      <c r="E35" s="71" t="s">
        <v>60</v>
      </c>
      <c r="F35" s="72">
        <f>F10+F8</f>
        <v>2351766.16</v>
      </c>
      <c r="G35" s="73">
        <f>+G8+G10+G22</f>
        <v>3334340.4512279998</v>
      </c>
      <c r="H35" s="74">
        <f t="shared" si="0"/>
        <v>-982574.29122799961</v>
      </c>
      <c r="I35" s="75">
        <f t="shared" si="1"/>
        <v>-0.29468325313515265</v>
      </c>
      <c r="J35" s="73">
        <f>J10+J8</f>
        <v>3874561.78</v>
      </c>
      <c r="K35" s="74">
        <f t="shared" si="2"/>
        <v>-1522795.6199999996</v>
      </c>
      <c r="L35" s="75">
        <f t="shared" si="3"/>
        <v>-0.3930239615381742</v>
      </c>
      <c r="N35" s="76">
        <f>N10+N8</f>
        <v>68281.326000000001</v>
      </c>
      <c r="O35" s="77">
        <f>+O8+O10+O22</f>
        <v>119122.81</v>
      </c>
      <c r="P35" s="78">
        <f t="shared" si="4"/>
        <v>-50841.483999999997</v>
      </c>
      <c r="Q35" s="75">
        <f t="shared" si="5"/>
        <v>-0.42679889770901136</v>
      </c>
      <c r="R35" s="77">
        <v>25602.359799999998</v>
      </c>
      <c r="S35" s="78">
        <f t="shared" si="6"/>
        <v>42678.966200000003</v>
      </c>
      <c r="T35" s="75">
        <f t="shared" si="7"/>
        <v>1.6669934542518225</v>
      </c>
    </row>
    <row r="36" spans="1:20" ht="14.25" customHeight="1">
      <c r="D36" s="70">
        <v>7</v>
      </c>
      <c r="E36" s="71" t="s">
        <v>61</v>
      </c>
      <c r="F36" s="72">
        <f>F11</f>
        <v>1452368.42</v>
      </c>
      <c r="G36" s="73">
        <f>G11+G23</f>
        <v>1694685.6150625299</v>
      </c>
      <c r="H36" s="74">
        <f t="shared" si="0"/>
        <v>-242317.19506252999</v>
      </c>
      <c r="I36" s="75">
        <f t="shared" si="1"/>
        <v>-0.14298651791741857</v>
      </c>
      <c r="J36" s="73">
        <v>1359435.81</v>
      </c>
      <c r="K36" s="74">
        <f t="shared" si="2"/>
        <v>92932.60999999987</v>
      </c>
      <c r="L36" s="75">
        <f t="shared" si="3"/>
        <v>6.8361160796551301E-2</v>
      </c>
      <c r="N36" s="76">
        <f>N11</f>
        <v>26639.24</v>
      </c>
      <c r="O36" s="77">
        <f>O11+O23</f>
        <v>28902.141995000002</v>
      </c>
      <c r="P36" s="78">
        <f t="shared" si="4"/>
        <v>-2262.9019950000002</v>
      </c>
      <c r="Q36" s="75">
        <f t="shared" si="5"/>
        <v>-7.8295304043260017E-2</v>
      </c>
      <c r="R36" s="77">
        <v>24423.471799999999</v>
      </c>
      <c r="S36" s="78">
        <f t="shared" si="6"/>
        <v>2215.7682000000023</v>
      </c>
      <c r="T36" s="75">
        <f t="shared" si="7"/>
        <v>9.0722900419096142E-2</v>
      </c>
    </row>
    <row r="37" spans="1:20" ht="14.25" customHeight="1">
      <c r="F37" s="79">
        <f>SUM(F30:F36)</f>
        <v>12593300.059999999</v>
      </c>
      <c r="G37" s="79">
        <f>SUM(G30:G36)</f>
        <v>16683376.10837085</v>
      </c>
      <c r="H37" s="79">
        <f t="shared" si="0"/>
        <v>-4090076.0483708512</v>
      </c>
      <c r="I37" s="80">
        <f t="shared" si="1"/>
        <v>-0.24515877492677662</v>
      </c>
      <c r="J37" s="79">
        <f>SUM(J30:J36)</f>
        <v>17161985.739999998</v>
      </c>
      <c r="K37" s="79">
        <f t="shared" si="2"/>
        <v>-4568685.68</v>
      </c>
      <c r="L37" s="80">
        <f t="shared" si="3"/>
        <v>-0.26620961870115156</v>
      </c>
      <c r="N37" s="81">
        <f>SUM(N30:N36)</f>
        <v>337830.31400000001</v>
      </c>
      <c r="O37" s="81">
        <f>SUM(O30:O36)</f>
        <v>507749.34829500003</v>
      </c>
      <c r="P37" s="81">
        <f t="shared" si="4"/>
        <v>-169919.03429500002</v>
      </c>
      <c r="Q37" s="80">
        <f t="shared" si="5"/>
        <v>-0.33465140795469395</v>
      </c>
      <c r="R37" s="81">
        <f>SUM(R30:R36)</f>
        <v>386802.01759999996</v>
      </c>
      <c r="S37" s="81">
        <f t="shared" si="6"/>
        <v>-48971.70359999995</v>
      </c>
      <c r="T37" s="80">
        <f t="shared" si="7"/>
        <v>-0.12660663949959694</v>
      </c>
    </row>
    <row r="40" spans="1:20" ht="15" customHeight="1"/>
    <row r="41" spans="1:20" ht="14.25" customHeight="1">
      <c r="F41" s="311" t="s">
        <v>146</v>
      </c>
      <c r="G41" s="311"/>
      <c r="H41" s="311"/>
      <c r="I41" s="311"/>
      <c r="J41" s="311"/>
      <c r="K41" s="311"/>
      <c r="L41" s="311"/>
      <c r="M41" s="311"/>
    </row>
    <row r="42" spans="1:20" ht="15" customHeight="1">
      <c r="C42" s="64" t="s">
        <v>64</v>
      </c>
      <c r="F42" s="312" t="s">
        <v>2</v>
      </c>
      <c r="G42" s="312"/>
      <c r="H42" s="312"/>
      <c r="I42" s="312"/>
      <c r="J42" s="313" t="s">
        <v>4</v>
      </c>
      <c r="K42" s="313"/>
      <c r="L42" s="313"/>
      <c r="M42" s="313"/>
    </row>
    <row r="43" spans="1:20" ht="14.25" customHeight="1">
      <c r="A43" s="67" t="s">
        <v>65</v>
      </c>
      <c r="B43" s="82" t="s">
        <v>66</v>
      </c>
      <c r="C43" s="82" t="s">
        <v>67</v>
      </c>
      <c r="D43" s="82" t="s">
        <v>68</v>
      </c>
      <c r="E43" s="83" t="s">
        <v>69</v>
      </c>
      <c r="F43" s="84" t="s">
        <v>53</v>
      </c>
      <c r="G43" s="85">
        <v>2020</v>
      </c>
      <c r="H43" s="86" t="s">
        <v>70</v>
      </c>
      <c r="I43" s="9" t="s">
        <v>9</v>
      </c>
      <c r="J43" s="19" t="s">
        <v>53</v>
      </c>
      <c r="K43" s="87">
        <v>2020</v>
      </c>
      <c r="L43" s="88" t="s">
        <v>70</v>
      </c>
      <c r="M43" s="89" t="s">
        <v>9</v>
      </c>
    </row>
    <row r="44" spans="1:20" ht="14.25" customHeight="1">
      <c r="A44" s="90">
        <v>1</v>
      </c>
      <c r="B44" s="104" t="s">
        <v>87</v>
      </c>
      <c r="C44" s="104" t="s">
        <v>88</v>
      </c>
      <c r="D44" s="104" t="s">
        <v>77</v>
      </c>
      <c r="E44" s="105" t="s">
        <v>78</v>
      </c>
      <c r="F44" s="59">
        <v>13.65</v>
      </c>
      <c r="G44" s="59">
        <v>0</v>
      </c>
      <c r="H44" s="59">
        <f t="shared" ref="H44:H55" si="8">G44-F44</f>
        <v>-13.65</v>
      </c>
      <c r="I44" s="91">
        <f t="shared" ref="I44:I55" si="9">IFERROR(G44/F44-1,0)</f>
        <v>-1</v>
      </c>
      <c r="J44" s="92">
        <v>3990.0246750000001</v>
      </c>
      <c r="K44" s="92">
        <v>0</v>
      </c>
      <c r="L44" s="92">
        <f t="shared" ref="L44:L55" si="10">K44-J44</f>
        <v>-3990.0246750000001</v>
      </c>
      <c r="M44" s="91">
        <f t="shared" ref="M44:M55" si="11">IFERROR(K44/J44-1,0)</f>
        <v>-1</v>
      </c>
    </row>
    <row r="45" spans="1:20" ht="14.25" customHeight="1">
      <c r="A45" s="90">
        <v>1</v>
      </c>
      <c r="B45" s="104" t="s">
        <v>85</v>
      </c>
      <c r="C45" s="104" t="s">
        <v>86</v>
      </c>
      <c r="D45" s="104" t="s">
        <v>77</v>
      </c>
      <c r="E45" s="105" t="s">
        <v>78</v>
      </c>
      <c r="F45" s="59">
        <v>15.75</v>
      </c>
      <c r="G45" s="59">
        <v>0</v>
      </c>
      <c r="H45" s="59">
        <f t="shared" si="8"/>
        <v>-15.75</v>
      </c>
      <c r="I45" s="91">
        <f t="shared" si="9"/>
        <v>-1</v>
      </c>
      <c r="J45" s="92">
        <v>4716.1642499999998</v>
      </c>
      <c r="K45" s="92">
        <v>0</v>
      </c>
      <c r="L45" s="92">
        <f t="shared" si="10"/>
        <v>-4716.1642499999998</v>
      </c>
      <c r="M45" s="91">
        <f t="shared" si="11"/>
        <v>-1</v>
      </c>
    </row>
    <row r="46" spans="1:20" ht="14.25" customHeight="1">
      <c r="A46" s="90">
        <v>1</v>
      </c>
      <c r="B46" s="104" t="s">
        <v>133</v>
      </c>
      <c r="C46" s="104" t="s">
        <v>134</v>
      </c>
      <c r="D46" s="104" t="s">
        <v>77</v>
      </c>
      <c r="E46" s="105" t="s">
        <v>78</v>
      </c>
      <c r="F46" s="59">
        <v>3.15</v>
      </c>
      <c r="G46" s="59">
        <v>0</v>
      </c>
      <c r="H46" s="59">
        <f t="shared" si="8"/>
        <v>-3.15</v>
      </c>
      <c r="I46" s="91">
        <f t="shared" si="9"/>
        <v>-1</v>
      </c>
      <c r="J46" s="92">
        <v>891.90044999999998</v>
      </c>
      <c r="K46" s="92">
        <v>0</v>
      </c>
      <c r="L46" s="92">
        <f t="shared" si="10"/>
        <v>-891.90044999999998</v>
      </c>
      <c r="M46" s="91">
        <f t="shared" si="11"/>
        <v>-1</v>
      </c>
    </row>
    <row r="47" spans="1:20" ht="14.25" customHeight="1">
      <c r="A47" s="90">
        <v>1</v>
      </c>
      <c r="B47" s="104" t="s">
        <v>79</v>
      </c>
      <c r="C47" s="104" t="s">
        <v>80</v>
      </c>
      <c r="D47" s="104" t="s">
        <v>77</v>
      </c>
      <c r="E47" s="105" t="s">
        <v>78</v>
      </c>
      <c r="F47" s="59">
        <v>63</v>
      </c>
      <c r="G47" s="59">
        <v>0</v>
      </c>
      <c r="H47" s="59">
        <f t="shared" si="8"/>
        <v>-63</v>
      </c>
      <c r="I47" s="91">
        <f t="shared" si="9"/>
        <v>-1</v>
      </c>
      <c r="J47" s="92">
        <v>18415.498500000002</v>
      </c>
      <c r="K47" s="92">
        <v>0</v>
      </c>
      <c r="L47" s="92">
        <f t="shared" si="10"/>
        <v>-18415.498500000002</v>
      </c>
      <c r="M47" s="91">
        <f t="shared" si="11"/>
        <v>-1</v>
      </c>
    </row>
    <row r="48" spans="1:20" ht="14.25" customHeight="1">
      <c r="A48" s="90">
        <v>1</v>
      </c>
      <c r="B48" s="104" t="s">
        <v>89</v>
      </c>
      <c r="C48" s="104" t="s">
        <v>90</v>
      </c>
      <c r="D48" s="104" t="s">
        <v>77</v>
      </c>
      <c r="E48" s="105" t="s">
        <v>78</v>
      </c>
      <c r="F48" s="59">
        <v>15.75</v>
      </c>
      <c r="G48" s="59">
        <v>10</v>
      </c>
      <c r="H48" s="59">
        <f t="shared" si="8"/>
        <v>-5.75</v>
      </c>
      <c r="I48" s="91">
        <f t="shared" si="9"/>
        <v>-0.36507936507936511</v>
      </c>
      <c r="J48" s="92">
        <v>4716.1642499999998</v>
      </c>
      <c r="K48" s="92">
        <v>3412.77</v>
      </c>
      <c r="L48" s="92">
        <f t="shared" si="10"/>
        <v>-1303.3942499999998</v>
      </c>
      <c r="M48" s="91">
        <f t="shared" si="11"/>
        <v>-0.2763674420372445</v>
      </c>
    </row>
    <row r="49" spans="1:13" ht="14.25" customHeight="1">
      <c r="A49" s="90">
        <v>1</v>
      </c>
      <c r="B49" s="104" t="s">
        <v>75</v>
      </c>
      <c r="C49" s="104" t="s">
        <v>76</v>
      </c>
      <c r="D49" s="104" t="s">
        <v>77</v>
      </c>
      <c r="E49" s="105" t="s">
        <v>78</v>
      </c>
      <c r="F49" s="59">
        <v>231</v>
      </c>
      <c r="G49" s="59">
        <v>10</v>
      </c>
      <c r="H49" s="59">
        <f t="shared" si="8"/>
        <v>-221</v>
      </c>
      <c r="I49" s="91">
        <f t="shared" si="9"/>
        <v>-0.95670995670995673</v>
      </c>
      <c r="J49" s="92">
        <v>58818.375</v>
      </c>
      <c r="K49" s="92">
        <v>3007.04</v>
      </c>
      <c r="L49" s="92">
        <f t="shared" si="10"/>
        <v>-55811.334999999999</v>
      </c>
      <c r="M49" s="91">
        <f t="shared" si="11"/>
        <v>-0.94887584024550153</v>
      </c>
    </row>
    <row r="50" spans="1:13" ht="14.25" customHeight="1">
      <c r="A50" s="90">
        <v>1</v>
      </c>
      <c r="B50" s="104" t="s">
        <v>81</v>
      </c>
      <c r="C50" s="104" t="s">
        <v>82</v>
      </c>
      <c r="D50" s="104" t="s">
        <v>77</v>
      </c>
      <c r="E50" s="105" t="s">
        <v>78</v>
      </c>
      <c r="F50" s="59">
        <v>21</v>
      </c>
      <c r="G50" s="59">
        <v>0</v>
      </c>
      <c r="H50" s="59">
        <f t="shared" si="8"/>
        <v>-21</v>
      </c>
      <c r="I50" s="91">
        <f t="shared" si="9"/>
        <v>-1</v>
      </c>
      <c r="J50" s="92">
        <v>6138.4994999999999</v>
      </c>
      <c r="K50" s="92">
        <v>0</v>
      </c>
      <c r="L50" s="92">
        <f t="shared" si="10"/>
        <v>-6138.4994999999999</v>
      </c>
      <c r="M50" s="91">
        <f t="shared" si="11"/>
        <v>-1</v>
      </c>
    </row>
    <row r="51" spans="1:13" ht="14.25" customHeight="1">
      <c r="A51" s="90">
        <v>1</v>
      </c>
      <c r="B51" s="104" t="s">
        <v>75</v>
      </c>
      <c r="C51" s="104" t="s">
        <v>76</v>
      </c>
      <c r="D51" s="104" t="s">
        <v>91</v>
      </c>
      <c r="E51" s="105" t="s">
        <v>92</v>
      </c>
      <c r="F51" s="59">
        <v>0</v>
      </c>
      <c r="G51" s="59">
        <v>160</v>
      </c>
      <c r="H51" s="59">
        <f t="shared" si="8"/>
        <v>160</v>
      </c>
      <c r="I51" s="91">
        <f t="shared" si="9"/>
        <v>0</v>
      </c>
      <c r="J51" s="92">
        <v>0</v>
      </c>
      <c r="K51" s="92">
        <v>45624.98</v>
      </c>
      <c r="L51" s="92">
        <f t="shared" si="10"/>
        <v>45624.98</v>
      </c>
      <c r="M51" s="91">
        <f t="shared" si="11"/>
        <v>0</v>
      </c>
    </row>
    <row r="52" spans="1:13" ht="14.25" customHeight="1">
      <c r="A52" s="90">
        <v>1</v>
      </c>
      <c r="B52" s="106" t="s">
        <v>83</v>
      </c>
      <c r="C52" s="106" t="s">
        <v>84</v>
      </c>
      <c r="D52" s="106" t="s">
        <v>77</v>
      </c>
      <c r="E52" s="107" t="s">
        <v>78</v>
      </c>
      <c r="F52" s="59">
        <v>21</v>
      </c>
      <c r="G52" s="59">
        <v>0</v>
      </c>
      <c r="H52" s="59">
        <f t="shared" si="8"/>
        <v>-21</v>
      </c>
      <c r="I52" s="91">
        <f t="shared" si="9"/>
        <v>-1</v>
      </c>
      <c r="J52" s="92">
        <v>6138.4994999999999</v>
      </c>
      <c r="K52" s="92">
        <v>0</v>
      </c>
      <c r="L52" s="92">
        <f t="shared" si="10"/>
        <v>-6138.4994999999999</v>
      </c>
      <c r="M52" s="91">
        <f t="shared" si="11"/>
        <v>-1</v>
      </c>
    </row>
    <row r="53" spans="1:13" ht="14.25" customHeight="1">
      <c r="A53" s="90">
        <v>1</v>
      </c>
      <c r="B53" s="106" t="s">
        <v>148</v>
      </c>
      <c r="C53" s="106" t="s">
        <v>149</v>
      </c>
      <c r="D53" s="106" t="s">
        <v>77</v>
      </c>
      <c r="E53" s="107" t="s">
        <v>78</v>
      </c>
      <c r="F53" s="59">
        <v>1.05</v>
      </c>
      <c r="G53" s="59">
        <v>0</v>
      </c>
      <c r="H53" s="59">
        <f t="shared" si="8"/>
        <v>-1.05</v>
      </c>
      <c r="I53" s="91">
        <f t="shared" si="9"/>
        <v>-1</v>
      </c>
      <c r="J53" s="92">
        <v>316.41750000000002</v>
      </c>
      <c r="K53" s="92">
        <v>0</v>
      </c>
      <c r="L53" s="92">
        <f t="shared" si="10"/>
        <v>-316.41750000000002</v>
      </c>
      <c r="M53" s="91">
        <f t="shared" si="11"/>
        <v>-1</v>
      </c>
    </row>
    <row r="54" spans="1:13" ht="14.25" customHeight="1">
      <c r="A54" s="90">
        <v>1</v>
      </c>
      <c r="B54" s="106"/>
      <c r="C54" s="106"/>
      <c r="D54" s="106"/>
      <c r="E54" s="107"/>
      <c r="F54" s="59"/>
      <c r="G54" s="59"/>
      <c r="H54" s="59">
        <f t="shared" si="8"/>
        <v>0</v>
      </c>
      <c r="I54" s="91">
        <f t="shared" si="9"/>
        <v>0</v>
      </c>
      <c r="J54" s="92"/>
      <c r="K54" s="92"/>
      <c r="L54" s="92">
        <f t="shared" si="10"/>
        <v>0</v>
      </c>
      <c r="M54" s="91">
        <f t="shared" si="11"/>
        <v>0</v>
      </c>
    </row>
    <row r="55" spans="1:13" ht="14.25" customHeight="1">
      <c r="A55" s="90">
        <v>1</v>
      </c>
      <c r="B55" s="106"/>
      <c r="C55" s="106"/>
      <c r="D55" s="106"/>
      <c r="E55" s="107"/>
      <c r="F55" s="59"/>
      <c r="G55" s="59"/>
      <c r="H55" s="59">
        <f t="shared" si="8"/>
        <v>0</v>
      </c>
      <c r="I55" s="91">
        <f t="shared" si="9"/>
        <v>0</v>
      </c>
      <c r="J55" s="92"/>
      <c r="K55" s="92"/>
      <c r="L55" s="92">
        <f t="shared" si="10"/>
        <v>0</v>
      </c>
      <c r="M55" s="91">
        <f t="shared" si="11"/>
        <v>0</v>
      </c>
    </row>
    <row r="56" spans="1:13" ht="14.25" customHeight="1">
      <c r="F56" s="81">
        <f>SUM(F44:F55)</f>
        <v>385.35</v>
      </c>
      <c r="G56" s="81">
        <f>SUM(G44:G55)</f>
        <v>180</v>
      </c>
      <c r="H56" s="81">
        <f>SUM(H44:H55)</f>
        <v>-205.35000000000002</v>
      </c>
      <c r="I56" s="96">
        <f>H56/F56</f>
        <v>-0.53289217594394711</v>
      </c>
      <c r="J56" s="97">
        <f>SUM(J44:J55)</f>
        <v>104141.54362500001</v>
      </c>
      <c r="K56" s="97">
        <f>SUM(K44:K55)</f>
        <v>52044.79</v>
      </c>
      <c r="L56" s="97">
        <f>SUM(L44:L55)</f>
        <v>-52096.753625000005</v>
      </c>
      <c r="M56" s="96">
        <f>L56/J56</f>
        <v>-0.5002494855712295</v>
      </c>
    </row>
    <row r="59" spans="1:13" ht="15" customHeight="1"/>
    <row r="60" spans="1:13" ht="14.25" customHeight="1">
      <c r="F60" s="311" t="s">
        <v>146</v>
      </c>
      <c r="G60" s="311"/>
      <c r="H60" s="311"/>
      <c r="I60" s="311"/>
      <c r="J60" s="311"/>
      <c r="K60" s="311"/>
      <c r="L60" s="311"/>
      <c r="M60" s="311"/>
    </row>
    <row r="61" spans="1:13" ht="15" customHeight="1">
      <c r="C61" s="64" t="s">
        <v>93</v>
      </c>
      <c r="F61" s="312" t="s">
        <v>2</v>
      </c>
      <c r="G61" s="312"/>
      <c r="H61" s="312"/>
      <c r="I61" s="312"/>
      <c r="J61" s="313" t="s">
        <v>4</v>
      </c>
      <c r="K61" s="313"/>
      <c r="L61" s="313"/>
      <c r="M61" s="313"/>
    </row>
    <row r="62" spans="1:13" ht="14.25" customHeight="1">
      <c r="A62" s="67" t="s">
        <v>65</v>
      </c>
      <c r="B62" s="82" t="s">
        <v>66</v>
      </c>
      <c r="C62" s="82" t="s">
        <v>67</v>
      </c>
      <c r="D62" s="82" t="s">
        <v>68</v>
      </c>
      <c r="E62" s="83" t="s">
        <v>69</v>
      </c>
      <c r="F62" s="84" t="s">
        <v>53</v>
      </c>
      <c r="G62" s="85">
        <v>2020</v>
      </c>
      <c r="H62" s="86" t="s">
        <v>70</v>
      </c>
      <c r="I62" s="9" t="s">
        <v>9</v>
      </c>
      <c r="J62" s="19" t="s">
        <v>53</v>
      </c>
      <c r="K62" s="87">
        <v>2020</v>
      </c>
      <c r="L62" s="88" t="s">
        <v>70</v>
      </c>
      <c r="M62" s="89" t="s">
        <v>9</v>
      </c>
    </row>
    <row r="63" spans="1:13" ht="14.25" customHeight="1">
      <c r="A63" s="90">
        <v>2</v>
      </c>
      <c r="B63" s="55" t="s">
        <v>94</v>
      </c>
      <c r="C63" s="55" t="s">
        <v>95</v>
      </c>
      <c r="D63" s="55" t="s">
        <v>77</v>
      </c>
      <c r="E63" s="55" t="s">
        <v>78</v>
      </c>
      <c r="F63" s="98">
        <v>20</v>
      </c>
      <c r="G63" s="99">
        <v>30</v>
      </c>
      <c r="H63" s="99">
        <f>G63-F63</f>
        <v>10</v>
      </c>
      <c r="I63" s="100">
        <f>IFERROR(G63/F63-1,0)</f>
        <v>0.5</v>
      </c>
      <c r="J63" s="101">
        <v>5846.19</v>
      </c>
      <c r="K63" s="102">
        <v>10137</v>
      </c>
      <c r="L63" s="102">
        <f>K63-J63</f>
        <v>4290.8100000000004</v>
      </c>
      <c r="M63" s="103">
        <f>IFERROR(K63/J63-1,0)</f>
        <v>0.73394980320516456</v>
      </c>
    </row>
    <row r="64" spans="1:13" ht="14.25" customHeight="1">
      <c r="A64" s="90">
        <v>2</v>
      </c>
      <c r="B64" s="55"/>
      <c r="C64" s="55"/>
      <c r="D64" s="55"/>
      <c r="E64" s="55"/>
      <c r="F64" s="98"/>
      <c r="G64" s="99"/>
      <c r="H64" s="99">
        <f>G64-F64</f>
        <v>0</v>
      </c>
      <c r="I64" s="100">
        <f>IFERROR(G64/F64-1,0)</f>
        <v>0</v>
      </c>
      <c r="J64" s="101"/>
      <c r="K64" s="102"/>
      <c r="L64" s="102">
        <f>K64-J64</f>
        <v>0</v>
      </c>
      <c r="M64" s="103">
        <f>IFERROR(K64/J64-1,0)</f>
        <v>0</v>
      </c>
    </row>
    <row r="65" spans="1:13" ht="14.25" customHeight="1">
      <c r="A65" s="90">
        <v>2</v>
      </c>
      <c r="B65" s="55"/>
      <c r="C65" s="55"/>
      <c r="D65" s="55"/>
      <c r="E65" s="55"/>
      <c r="F65" s="98"/>
      <c r="G65" s="99"/>
      <c r="H65" s="99">
        <f>G65-F65</f>
        <v>0</v>
      </c>
      <c r="I65" s="100">
        <f>IFERROR(G65/F65-1,0)</f>
        <v>0</v>
      </c>
      <c r="J65" s="101"/>
      <c r="K65" s="102"/>
      <c r="L65" s="102">
        <f>K65-J65</f>
        <v>0</v>
      </c>
      <c r="M65" s="103">
        <f>IFERROR(K65/J65-1,0)</f>
        <v>0</v>
      </c>
    </row>
    <row r="66" spans="1:13" ht="14.25" customHeight="1">
      <c r="F66" s="81">
        <f>SUM(F63:F65)</f>
        <v>20</v>
      </c>
      <c r="G66" s="81">
        <f>SUM(G63:G65)</f>
        <v>30</v>
      </c>
      <c r="H66" s="81">
        <f>SUM(H63:H65)</f>
        <v>10</v>
      </c>
      <c r="I66" s="96">
        <f>H66/F66</f>
        <v>0.5</v>
      </c>
      <c r="J66" s="97">
        <f>SUM(J63:J65)</f>
        <v>5846.19</v>
      </c>
      <c r="K66" s="97">
        <f>SUM(K63:K65)</f>
        <v>10137</v>
      </c>
      <c r="L66" s="97">
        <f>SUM(L63:L65)</f>
        <v>4290.8100000000004</v>
      </c>
      <c r="M66" s="96">
        <f>L66/J66</f>
        <v>0.73394980320516445</v>
      </c>
    </row>
    <row r="69" spans="1:13" ht="15" customHeight="1"/>
    <row r="70" spans="1:13" ht="14.25" customHeight="1">
      <c r="F70" s="311" t="s">
        <v>146</v>
      </c>
      <c r="G70" s="311"/>
      <c r="H70" s="311"/>
      <c r="I70" s="311"/>
      <c r="J70" s="311"/>
      <c r="K70" s="311"/>
      <c r="L70" s="311"/>
      <c r="M70" s="311"/>
    </row>
    <row r="71" spans="1:13" ht="15" customHeight="1">
      <c r="C71" s="64" t="s">
        <v>96</v>
      </c>
      <c r="F71" s="312" t="s">
        <v>2</v>
      </c>
      <c r="G71" s="312"/>
      <c r="H71" s="312"/>
      <c r="I71" s="312"/>
      <c r="J71" s="313" t="s">
        <v>4</v>
      </c>
      <c r="K71" s="313"/>
      <c r="L71" s="313"/>
      <c r="M71" s="313"/>
    </row>
    <row r="72" spans="1:13" ht="14.25" customHeight="1">
      <c r="A72" s="67" t="s">
        <v>65</v>
      </c>
      <c r="B72" s="82" t="s">
        <v>66</v>
      </c>
      <c r="C72" s="82" t="s">
        <v>67</v>
      </c>
      <c r="D72" s="82" t="s">
        <v>68</v>
      </c>
      <c r="E72" s="83" t="s">
        <v>69</v>
      </c>
      <c r="F72" s="84" t="s">
        <v>53</v>
      </c>
      <c r="G72" s="85">
        <v>2020</v>
      </c>
      <c r="H72" s="86" t="s">
        <v>70</v>
      </c>
      <c r="I72" s="9" t="s">
        <v>9</v>
      </c>
      <c r="J72" s="19" t="s">
        <v>53</v>
      </c>
      <c r="K72" s="87">
        <v>2020</v>
      </c>
      <c r="L72" s="88" t="s">
        <v>70</v>
      </c>
      <c r="M72" s="89" t="s">
        <v>9</v>
      </c>
    </row>
    <row r="73" spans="1:13" ht="14.25" customHeight="1">
      <c r="A73" s="90">
        <v>3</v>
      </c>
      <c r="B73" s="55" t="s">
        <v>106</v>
      </c>
      <c r="C73" s="55" t="s">
        <v>107</v>
      </c>
      <c r="D73" s="55" t="s">
        <v>77</v>
      </c>
      <c r="E73" s="55" t="s">
        <v>78</v>
      </c>
      <c r="F73" s="59">
        <v>5</v>
      </c>
      <c r="G73" s="59">
        <v>2</v>
      </c>
      <c r="H73" s="59">
        <f>G73-F73</f>
        <v>-3</v>
      </c>
      <c r="I73" s="91">
        <f>IFERROR(G73/F73-1,0)</f>
        <v>-0.6</v>
      </c>
      <c r="J73" s="92">
        <v>1461.5474999999999</v>
      </c>
      <c r="K73" s="92">
        <v>685.05</v>
      </c>
      <c r="L73" s="92">
        <f>K73-J73</f>
        <v>-776.49749999999995</v>
      </c>
      <c r="M73" s="91">
        <f>IFERROR(K73/J73-1,0)</f>
        <v>-0.53128447758283603</v>
      </c>
    </row>
    <row r="74" spans="1:13" ht="14.25" customHeight="1">
      <c r="A74" s="90">
        <v>3</v>
      </c>
      <c r="B74" s="55" t="s">
        <v>99</v>
      </c>
      <c r="C74" s="55" t="s">
        <v>100</v>
      </c>
      <c r="D74" s="55" t="s">
        <v>77</v>
      </c>
      <c r="E74" s="55" t="s">
        <v>78</v>
      </c>
      <c r="F74" s="59">
        <v>60</v>
      </c>
      <c r="G74" s="59">
        <v>20</v>
      </c>
      <c r="H74" s="59">
        <f>G74-F74</f>
        <v>-40</v>
      </c>
      <c r="I74" s="91">
        <f>IFERROR(G74/F74-1,0)</f>
        <v>-0.66666666666666674</v>
      </c>
      <c r="J74" s="92">
        <v>17538.57</v>
      </c>
      <c r="K74" s="92">
        <v>6650.06</v>
      </c>
      <c r="L74" s="92">
        <f>K74-J74</f>
        <v>-10888.509999999998</v>
      </c>
      <c r="M74" s="91">
        <f>IFERROR(K74/J74-1,0)</f>
        <v>-0.62083225713384838</v>
      </c>
    </row>
    <row r="75" spans="1:13" ht="14.25" customHeight="1">
      <c r="A75" s="90">
        <v>3</v>
      </c>
      <c r="B75" s="55" t="s">
        <v>150</v>
      </c>
      <c r="C75" s="55" t="s">
        <v>151</v>
      </c>
      <c r="D75" s="55" t="s">
        <v>91</v>
      </c>
      <c r="E75" s="55" t="s">
        <v>92</v>
      </c>
      <c r="F75" s="59">
        <v>0</v>
      </c>
      <c r="G75" s="59">
        <v>10</v>
      </c>
      <c r="H75" s="59">
        <f>G75-F75</f>
        <v>10</v>
      </c>
      <c r="I75" s="91">
        <f>IFERROR(G75/F75-1,0)</f>
        <v>0</v>
      </c>
      <c r="J75" s="92">
        <v>0</v>
      </c>
      <c r="K75" s="92">
        <v>3199.07</v>
      </c>
      <c r="L75" s="92">
        <f>K75-J75</f>
        <v>3199.07</v>
      </c>
      <c r="M75" s="91">
        <f>IFERROR(K75/J75-1,0)</f>
        <v>0</v>
      </c>
    </row>
    <row r="76" spans="1:13" ht="14.25" customHeight="1">
      <c r="A76" s="90">
        <v>3</v>
      </c>
      <c r="B76" s="55" t="s">
        <v>99</v>
      </c>
      <c r="C76" s="55" t="s">
        <v>100</v>
      </c>
      <c r="D76" s="55" t="s">
        <v>91</v>
      </c>
      <c r="E76" s="55" t="s">
        <v>92</v>
      </c>
      <c r="F76" s="59">
        <v>0</v>
      </c>
      <c r="G76" s="59">
        <v>10</v>
      </c>
      <c r="H76" s="59">
        <f>G76-F76</f>
        <v>10</v>
      </c>
      <c r="I76" s="91">
        <f>IFERROR(G76/F76-1,0)</f>
        <v>0</v>
      </c>
      <c r="J76" s="92">
        <v>0</v>
      </c>
      <c r="K76" s="92">
        <v>3294.76</v>
      </c>
      <c r="L76" s="92">
        <f>K76-J76</f>
        <v>3294.76</v>
      </c>
      <c r="M76" s="91">
        <f>IFERROR(K76/J76-1,0)</f>
        <v>0</v>
      </c>
    </row>
    <row r="77" spans="1:13" ht="14.25" customHeight="1">
      <c r="F77" s="81">
        <f>SUM(F73:F76)</f>
        <v>65</v>
      </c>
      <c r="G77" s="81">
        <f>SUM(G73:G76)</f>
        <v>42</v>
      </c>
      <c r="H77" s="81">
        <f>SUM(H73:H76)</f>
        <v>-23</v>
      </c>
      <c r="I77" s="96">
        <f>H77/F77</f>
        <v>-0.35384615384615387</v>
      </c>
      <c r="J77" s="97">
        <f>SUM(J73:J76)</f>
        <v>19000.1175</v>
      </c>
      <c r="K77" s="97">
        <f>SUM(K73:K76)</f>
        <v>13828.94</v>
      </c>
      <c r="L77" s="97">
        <f>SUM(L73:L76)</f>
        <v>-5171.177499999998</v>
      </c>
      <c r="M77" s="96">
        <f>L77/J77</f>
        <v>-0.27216555371302298</v>
      </c>
    </row>
    <row r="80" spans="1:13" ht="15" customHeight="1"/>
    <row r="81" spans="1:13" ht="14.25" customHeight="1">
      <c r="F81" s="311" t="s">
        <v>146</v>
      </c>
      <c r="G81" s="311"/>
      <c r="H81" s="311"/>
      <c r="I81" s="311"/>
      <c r="J81" s="311"/>
      <c r="K81" s="311"/>
      <c r="L81" s="311"/>
      <c r="M81" s="311"/>
    </row>
    <row r="82" spans="1:13" ht="15" customHeight="1">
      <c r="C82" s="64" t="s">
        <v>41</v>
      </c>
      <c r="F82" s="312" t="s">
        <v>2</v>
      </c>
      <c r="G82" s="312"/>
      <c r="H82" s="312"/>
      <c r="I82" s="312"/>
      <c r="J82" s="313" t="s">
        <v>4</v>
      </c>
      <c r="K82" s="313"/>
      <c r="L82" s="313"/>
      <c r="M82" s="313"/>
    </row>
    <row r="83" spans="1:13" ht="14.25" customHeight="1">
      <c r="A83" s="67" t="s">
        <v>65</v>
      </c>
      <c r="B83" s="82" t="s">
        <v>66</v>
      </c>
      <c r="C83" s="82" t="s">
        <v>67</v>
      </c>
      <c r="D83" s="82" t="s">
        <v>68</v>
      </c>
      <c r="E83" s="83" t="s">
        <v>69</v>
      </c>
      <c r="F83" s="84" t="s">
        <v>53</v>
      </c>
      <c r="G83" s="85">
        <v>2020</v>
      </c>
      <c r="H83" s="86" t="s">
        <v>70</v>
      </c>
      <c r="I83" s="9" t="s">
        <v>9</v>
      </c>
      <c r="J83" s="19" t="s">
        <v>53</v>
      </c>
      <c r="K83" s="87">
        <v>2020</v>
      </c>
      <c r="L83" s="88" t="s">
        <v>70</v>
      </c>
      <c r="M83" s="89" t="s">
        <v>9</v>
      </c>
    </row>
    <row r="84" spans="1:13" ht="14.25" customHeight="1">
      <c r="A84" s="90">
        <v>6</v>
      </c>
      <c r="B84" s="55" t="s">
        <v>120</v>
      </c>
      <c r="C84" s="55" t="s">
        <v>121</v>
      </c>
      <c r="D84" s="55" t="s">
        <v>77</v>
      </c>
      <c r="E84" s="55" t="s">
        <v>78</v>
      </c>
      <c r="F84" s="59">
        <v>5</v>
      </c>
      <c r="G84" s="59">
        <v>5</v>
      </c>
      <c r="H84" s="59">
        <f t="shared" ref="H84:H90" si="12">G84-F84</f>
        <v>0</v>
      </c>
      <c r="I84" s="91">
        <f t="shared" ref="I84:I90" si="13">IFERROR(G84/F84-1,0)</f>
        <v>0</v>
      </c>
      <c r="J84" s="92">
        <v>1461.5474999999999</v>
      </c>
      <c r="K84" s="92">
        <v>1699.08</v>
      </c>
      <c r="L84" s="92">
        <f t="shared" ref="L84:L90" si="14">K84-J84</f>
        <v>237.53250000000003</v>
      </c>
      <c r="M84" s="91">
        <f t="shared" ref="M84:M90" si="15">IFERROR(K84/J84-1,0)</f>
        <v>0.16252123177659294</v>
      </c>
    </row>
    <row r="85" spans="1:13" ht="14.25" customHeight="1">
      <c r="A85" s="90">
        <v>6</v>
      </c>
      <c r="B85" s="55" t="s">
        <v>122</v>
      </c>
      <c r="C85" s="55" t="s">
        <v>123</v>
      </c>
      <c r="D85" s="55" t="s">
        <v>77</v>
      </c>
      <c r="E85" s="55" t="s">
        <v>78</v>
      </c>
      <c r="F85" s="59">
        <v>5</v>
      </c>
      <c r="G85" s="59">
        <v>0</v>
      </c>
      <c r="H85" s="59">
        <f t="shared" si="12"/>
        <v>-5</v>
      </c>
      <c r="I85" s="91">
        <f t="shared" si="13"/>
        <v>-1</v>
      </c>
      <c r="J85" s="92">
        <v>1427.9369999999999</v>
      </c>
      <c r="K85" s="92">
        <v>0</v>
      </c>
      <c r="L85" s="92">
        <f t="shared" si="14"/>
        <v>-1427.9369999999999</v>
      </c>
      <c r="M85" s="91">
        <f t="shared" si="15"/>
        <v>-1</v>
      </c>
    </row>
    <row r="86" spans="1:13" ht="14.25" customHeight="1">
      <c r="A86" s="90">
        <v>6</v>
      </c>
      <c r="B86" s="55" t="s">
        <v>112</v>
      </c>
      <c r="C86" s="55" t="s">
        <v>113</v>
      </c>
      <c r="D86" s="55" t="s">
        <v>77</v>
      </c>
      <c r="E86" s="55" t="s">
        <v>78</v>
      </c>
      <c r="F86" s="59">
        <v>180</v>
      </c>
      <c r="G86" s="59">
        <v>0</v>
      </c>
      <c r="H86" s="59">
        <f t="shared" si="12"/>
        <v>-180</v>
      </c>
      <c r="I86" s="91">
        <f t="shared" si="13"/>
        <v>-1</v>
      </c>
      <c r="J86" s="92">
        <v>52615.71</v>
      </c>
      <c r="K86" s="92">
        <v>0</v>
      </c>
      <c r="L86" s="92">
        <f t="shared" si="14"/>
        <v>-52615.71</v>
      </c>
      <c r="M86" s="91">
        <f t="shared" si="15"/>
        <v>-1</v>
      </c>
    </row>
    <row r="87" spans="1:13" ht="14.25" customHeight="1">
      <c r="A87" s="90">
        <v>6</v>
      </c>
      <c r="B87" s="55" t="s">
        <v>116</v>
      </c>
      <c r="C87" s="55" t="s">
        <v>117</v>
      </c>
      <c r="D87" s="55" t="s">
        <v>77</v>
      </c>
      <c r="E87" s="55" t="s">
        <v>78</v>
      </c>
      <c r="F87" s="59">
        <v>80</v>
      </c>
      <c r="G87" s="59">
        <v>5</v>
      </c>
      <c r="H87" s="59">
        <f t="shared" si="12"/>
        <v>-75</v>
      </c>
      <c r="I87" s="91">
        <f t="shared" si="13"/>
        <v>-0.9375</v>
      </c>
      <c r="J87" s="92">
        <v>23384.76</v>
      </c>
      <c r="K87" s="92">
        <v>1712.62</v>
      </c>
      <c r="L87" s="92">
        <f t="shared" si="14"/>
        <v>-21672.14</v>
      </c>
      <c r="M87" s="91">
        <f t="shared" si="15"/>
        <v>-0.92676341343678537</v>
      </c>
    </row>
    <row r="88" spans="1:13" ht="14.25" customHeight="1">
      <c r="A88" s="90">
        <v>6</v>
      </c>
      <c r="B88" s="55" t="s">
        <v>118</v>
      </c>
      <c r="C88" s="55" t="s">
        <v>119</v>
      </c>
      <c r="D88" s="55" t="s">
        <v>77</v>
      </c>
      <c r="E88" s="55" t="s">
        <v>78</v>
      </c>
      <c r="F88" s="59">
        <v>20</v>
      </c>
      <c r="G88" s="59">
        <v>10</v>
      </c>
      <c r="H88" s="59">
        <f t="shared" si="12"/>
        <v>-10</v>
      </c>
      <c r="I88" s="91">
        <f t="shared" si="13"/>
        <v>-0.5</v>
      </c>
      <c r="J88" s="92">
        <v>5846.19</v>
      </c>
      <c r="K88" s="92">
        <v>3486.22</v>
      </c>
      <c r="L88" s="92">
        <f t="shared" si="14"/>
        <v>-2359.9699999999998</v>
      </c>
      <c r="M88" s="91">
        <f t="shared" si="15"/>
        <v>-0.40367658252639749</v>
      </c>
    </row>
    <row r="89" spans="1:13" ht="14.25" customHeight="1">
      <c r="A89" s="90">
        <v>6</v>
      </c>
      <c r="B89" s="55" t="s">
        <v>112</v>
      </c>
      <c r="C89" s="55" t="s">
        <v>113</v>
      </c>
      <c r="D89" s="55" t="s">
        <v>91</v>
      </c>
      <c r="E89" s="55" t="s">
        <v>92</v>
      </c>
      <c r="F89" s="59">
        <v>0</v>
      </c>
      <c r="G89" s="59">
        <v>20</v>
      </c>
      <c r="H89" s="59">
        <f t="shared" si="12"/>
        <v>20</v>
      </c>
      <c r="I89" s="91">
        <f t="shared" si="13"/>
        <v>0</v>
      </c>
      <c r="J89" s="92">
        <v>0</v>
      </c>
      <c r="K89" s="92">
        <v>6589.52</v>
      </c>
      <c r="L89" s="92">
        <f t="shared" si="14"/>
        <v>6589.52</v>
      </c>
      <c r="M89" s="91">
        <f t="shared" si="15"/>
        <v>0</v>
      </c>
    </row>
    <row r="90" spans="1:13" ht="14.25" customHeight="1">
      <c r="A90" s="90">
        <v>6</v>
      </c>
      <c r="B90" s="55" t="s">
        <v>116</v>
      </c>
      <c r="C90" s="55" t="s">
        <v>117</v>
      </c>
      <c r="D90" s="55" t="s">
        <v>91</v>
      </c>
      <c r="E90" s="55" t="s">
        <v>92</v>
      </c>
      <c r="F90" s="59">
        <v>0</v>
      </c>
      <c r="G90" s="59">
        <v>20</v>
      </c>
      <c r="H90" s="59">
        <f t="shared" si="12"/>
        <v>20</v>
      </c>
      <c r="I90" s="91">
        <f t="shared" si="13"/>
        <v>0</v>
      </c>
      <c r="J90" s="92">
        <v>0</v>
      </c>
      <c r="K90" s="92">
        <v>6686.01</v>
      </c>
      <c r="L90" s="92">
        <f t="shared" si="14"/>
        <v>6686.01</v>
      </c>
      <c r="M90" s="91">
        <f t="shared" si="15"/>
        <v>0</v>
      </c>
    </row>
    <row r="91" spans="1:13" ht="14.25" customHeight="1">
      <c r="F91" s="81">
        <f>SUM(F84:F90)</f>
        <v>290</v>
      </c>
      <c r="G91" s="81">
        <f>SUM(G84:G90)</f>
        <v>60</v>
      </c>
      <c r="H91" s="81">
        <f>SUM(H84:H90)</f>
        <v>-230</v>
      </c>
      <c r="I91" s="96">
        <f>H91/F91</f>
        <v>-0.7931034482758621</v>
      </c>
      <c r="J91" s="97">
        <f>SUM(J84:J90)</f>
        <v>84736.144499999995</v>
      </c>
      <c r="K91" s="97">
        <f>SUM(K84:K90)</f>
        <v>20173.45</v>
      </c>
      <c r="L91" s="97">
        <f>SUM(L84:L90)</f>
        <v>-64562.694499999991</v>
      </c>
      <c r="M91" s="96">
        <f>L91/J91</f>
        <v>-0.76192626984580347</v>
      </c>
    </row>
    <row r="94" spans="1:13" ht="15" customHeight="1"/>
    <row r="95" spans="1:13" ht="14.25" customHeight="1">
      <c r="F95" s="311" t="s">
        <v>146</v>
      </c>
      <c r="G95" s="311"/>
      <c r="H95" s="311"/>
      <c r="I95" s="311"/>
      <c r="J95" s="311"/>
      <c r="K95" s="311"/>
      <c r="L95" s="311"/>
      <c r="M95" s="311"/>
    </row>
    <row r="96" spans="1:13" ht="15" customHeight="1">
      <c r="C96" s="64" t="s">
        <v>126</v>
      </c>
      <c r="F96" s="312" t="s">
        <v>2</v>
      </c>
      <c r="G96" s="312"/>
      <c r="H96" s="312"/>
      <c r="I96" s="312"/>
      <c r="J96" s="313" t="s">
        <v>4</v>
      </c>
      <c r="K96" s="313"/>
      <c r="L96" s="313"/>
      <c r="M96" s="313"/>
    </row>
    <row r="97" spans="1:13" ht="14.25" customHeight="1">
      <c r="A97" s="67" t="s">
        <v>65</v>
      </c>
      <c r="B97" s="82" t="s">
        <v>66</v>
      </c>
      <c r="C97" s="82" t="s">
        <v>67</v>
      </c>
      <c r="D97" s="82" t="s">
        <v>68</v>
      </c>
      <c r="E97" s="83" t="s">
        <v>69</v>
      </c>
      <c r="F97" s="84" t="s">
        <v>53</v>
      </c>
      <c r="G97" s="85">
        <v>2020</v>
      </c>
      <c r="H97" s="86" t="s">
        <v>70</v>
      </c>
      <c r="I97" s="9" t="s">
        <v>9</v>
      </c>
      <c r="J97" s="19" t="s">
        <v>53</v>
      </c>
      <c r="K97" s="87">
        <v>2020</v>
      </c>
      <c r="L97" s="88" t="s">
        <v>70</v>
      </c>
      <c r="M97" s="89" t="s">
        <v>9</v>
      </c>
    </row>
    <row r="98" spans="1:13" ht="14.25" customHeight="1">
      <c r="A98" s="90">
        <v>7</v>
      </c>
      <c r="B98" s="55" t="s">
        <v>127</v>
      </c>
      <c r="C98" s="55" t="s">
        <v>128</v>
      </c>
      <c r="D98" s="55" t="s">
        <v>91</v>
      </c>
      <c r="E98" s="55" t="s">
        <v>92</v>
      </c>
      <c r="F98" s="59">
        <v>42</v>
      </c>
      <c r="G98" s="59">
        <v>20</v>
      </c>
      <c r="H98" s="59">
        <f>G98-F98</f>
        <v>-22</v>
      </c>
      <c r="I98" s="91">
        <f>IFERROR(G98/F98-1,0)</f>
        <v>-0.52380952380952384</v>
      </c>
      <c r="J98" s="92">
        <v>12105.891</v>
      </c>
      <c r="K98" s="92">
        <v>6780.11</v>
      </c>
      <c r="L98" s="92">
        <f>K98-J98</f>
        <v>-5325.7809999999999</v>
      </c>
      <c r="M98" s="91">
        <f>IFERROR(K98/J98-1,0)</f>
        <v>-0.43993300451821349</v>
      </c>
    </row>
    <row r="99" spans="1:13" ht="14.25" customHeight="1">
      <c r="A99" s="90">
        <v>7</v>
      </c>
      <c r="B99" s="55" t="s">
        <v>141</v>
      </c>
      <c r="C99" s="55" t="s">
        <v>142</v>
      </c>
      <c r="D99" s="55" t="s">
        <v>77</v>
      </c>
      <c r="E99" s="55" t="s">
        <v>78</v>
      </c>
      <c r="F99" s="59">
        <v>42</v>
      </c>
      <c r="G99" s="59">
        <v>0</v>
      </c>
      <c r="H99" s="59">
        <f>G99-F99</f>
        <v>-42</v>
      </c>
      <c r="I99" s="91">
        <f>IFERROR(G99/F99-1,0)</f>
        <v>-1</v>
      </c>
      <c r="J99" s="92">
        <v>12276.999</v>
      </c>
      <c r="K99" s="92">
        <v>0</v>
      </c>
      <c r="L99" s="92">
        <f>K99-J99</f>
        <v>-12276.999</v>
      </c>
      <c r="M99" s="91">
        <f>IFERROR(K99/J99-1,0)</f>
        <v>-1</v>
      </c>
    </row>
    <row r="100" spans="1:13" ht="14.25" customHeight="1">
      <c r="A100" s="90">
        <v>7</v>
      </c>
      <c r="B100" s="55" t="s">
        <v>152</v>
      </c>
      <c r="C100" s="55" t="s">
        <v>153</v>
      </c>
      <c r="D100" s="55" t="s">
        <v>77</v>
      </c>
      <c r="E100" s="55" t="s">
        <v>78</v>
      </c>
      <c r="F100" s="59">
        <v>94.5</v>
      </c>
      <c r="G100" s="59">
        <v>0</v>
      </c>
      <c r="H100" s="59">
        <f>G100-F100</f>
        <v>-94.5</v>
      </c>
      <c r="I100" s="91">
        <f>IFERROR(G100/F100-1,0)</f>
        <v>-1</v>
      </c>
      <c r="J100" s="92">
        <v>27623.247749999999</v>
      </c>
      <c r="K100" s="92">
        <v>0</v>
      </c>
      <c r="L100" s="92">
        <f>K100-J100</f>
        <v>-27623.247749999999</v>
      </c>
      <c r="M100" s="91">
        <f>IFERROR(K100/J100-1,0)</f>
        <v>-1</v>
      </c>
    </row>
    <row r="101" spans="1:13" ht="14.25" customHeight="1">
      <c r="A101" s="90">
        <v>7</v>
      </c>
      <c r="B101" s="55" t="s">
        <v>154</v>
      </c>
      <c r="C101" s="55" t="s">
        <v>155</v>
      </c>
      <c r="D101" s="55" t="s">
        <v>77</v>
      </c>
      <c r="E101" s="55" t="s">
        <v>78</v>
      </c>
      <c r="F101" s="59">
        <v>1.05</v>
      </c>
      <c r="G101" s="59">
        <v>0</v>
      </c>
      <c r="H101" s="59">
        <f>G101-F101</f>
        <v>-1.05</v>
      </c>
      <c r="I101" s="91">
        <f>IFERROR(G101/F101-1,0)</f>
        <v>-1</v>
      </c>
      <c r="J101" s="92">
        <v>306.92497500000002</v>
      </c>
      <c r="K101" s="92">
        <v>0</v>
      </c>
      <c r="L101" s="92">
        <f>K101-J101</f>
        <v>-306.92497500000002</v>
      </c>
      <c r="M101" s="91">
        <f>IFERROR(K101/J101-1,0)</f>
        <v>-1</v>
      </c>
    </row>
    <row r="102" spans="1:13" ht="14.25" customHeight="1">
      <c r="F102" s="81">
        <f>SUM(F98:F101)</f>
        <v>179.55</v>
      </c>
      <c r="G102" s="81">
        <f>SUM(G98:G101)</f>
        <v>20</v>
      </c>
      <c r="H102" s="81">
        <f>SUM(H98:H101)</f>
        <v>-159.55000000000001</v>
      </c>
      <c r="I102" s="96">
        <f>H102/F102</f>
        <v>-0.88861041492620441</v>
      </c>
      <c r="J102" s="97">
        <f>SUM(J98:J101)</f>
        <v>52313.062724999996</v>
      </c>
      <c r="K102" s="97">
        <f>SUM(K98:K101)</f>
        <v>6780.11</v>
      </c>
      <c r="L102" s="97">
        <f>SUM(L98:L101)</f>
        <v>-45532.952724999996</v>
      </c>
      <c r="M102" s="96">
        <f>L102/J102</f>
        <v>-0.87039355666018303</v>
      </c>
    </row>
  </sheetData>
  <mergeCells count="21">
    <mergeCell ref="F95:M95"/>
    <mergeCell ref="F96:I96"/>
    <mergeCell ref="J96:M96"/>
    <mergeCell ref="F70:M70"/>
    <mergeCell ref="F71:I71"/>
    <mergeCell ref="J71:M71"/>
    <mergeCell ref="F81:M81"/>
    <mergeCell ref="F82:I82"/>
    <mergeCell ref="J82:M82"/>
    <mergeCell ref="F41:M41"/>
    <mergeCell ref="F42:I42"/>
    <mergeCell ref="J42:M42"/>
    <mergeCell ref="F60:M60"/>
    <mergeCell ref="F61:I61"/>
    <mergeCell ref="J61:M61"/>
    <mergeCell ref="F3:L3"/>
    <mergeCell ref="N3:T3"/>
    <mergeCell ref="F15:L15"/>
    <mergeCell ref="N15:T15"/>
    <mergeCell ref="F28:L28"/>
    <mergeCell ref="N28:T28"/>
  </mergeCells>
  <conditionalFormatting sqref="I98:I101">
    <cfRule type="iconSet" priority="2">
      <iconSet iconSet="3Arrows">
        <cfvo type="percent" val="0"/>
        <cfvo type="num" val="0"/>
        <cfvo type="num" val="0"/>
      </iconSet>
    </cfRule>
  </conditionalFormatting>
  <conditionalFormatting sqref="M101">
    <cfRule type="iconSet" priority="3">
      <iconSet iconSet="3Arrows">
        <cfvo type="percent" val="0"/>
        <cfvo type="num" val="0"/>
        <cfvo type="num" val="0"/>
      </iconSet>
    </cfRule>
  </conditionalFormatting>
  <conditionalFormatting sqref="M64:M65">
    <cfRule type="iconSet" priority="4">
      <iconSet iconSet="3Arrows">
        <cfvo type="percent" val="0"/>
        <cfvo type="num" val="0"/>
        <cfvo type="num" val="0"/>
      </iconSet>
    </cfRule>
  </conditionalFormatting>
  <conditionalFormatting sqref="I64:I65">
    <cfRule type="iconSet" priority="5">
      <iconSet iconSet="3Arrows">
        <cfvo type="percent" val="0"/>
        <cfvo type="num" val="0"/>
        <cfvo type="num" val="0"/>
      </iconSet>
    </cfRule>
  </conditionalFormatting>
  <conditionalFormatting sqref="M63">
    <cfRule type="iconSet" priority="6">
      <iconSet iconSet="3Arrows">
        <cfvo type="percent" val="0"/>
        <cfvo type="num" val="0"/>
        <cfvo type="num" val="0"/>
      </iconSet>
    </cfRule>
  </conditionalFormatting>
  <conditionalFormatting sqref="I63">
    <cfRule type="iconSet" priority="7">
      <iconSet iconSet="3Arrows">
        <cfvo type="percent" val="0"/>
        <cfvo type="num" val="0"/>
        <cfvo type="num" val="0"/>
      </iconSet>
    </cfRule>
  </conditionalFormatting>
  <conditionalFormatting sqref="T12">
    <cfRule type="iconSet" priority="8">
      <iconSet iconSet="3Arrows">
        <cfvo type="percent" val="0"/>
        <cfvo type="num" val="0"/>
        <cfvo type="num" val="0"/>
      </iconSet>
    </cfRule>
  </conditionalFormatting>
  <conditionalFormatting sqref="L12">
    <cfRule type="iconSet" priority="9">
      <iconSet iconSet="3Arrows">
        <cfvo type="percent" val="0"/>
        <cfvo type="num" val="0"/>
        <cfvo type="num" val="0"/>
      </iconSet>
    </cfRule>
  </conditionalFormatting>
  <conditionalFormatting sqref="I12">
    <cfRule type="iconSet" priority="10">
      <iconSet iconSet="3Arrows">
        <cfvo type="percent" val="0"/>
        <cfvo type="num" val="0"/>
        <cfvo type="num" val="0"/>
      </iconSet>
    </cfRule>
  </conditionalFormatting>
  <conditionalFormatting sqref="Q12">
    <cfRule type="iconSet" priority="11">
      <iconSet iconSet="3Arrows">
        <cfvo type="percent" val="0"/>
        <cfvo type="num" val="0"/>
        <cfvo type="num" val="0"/>
      </iconSet>
    </cfRule>
  </conditionalFormatting>
  <conditionalFormatting sqref="T5:T11">
    <cfRule type="iconSet" priority="12">
      <iconSet iconSet="3Arrows">
        <cfvo type="percent" val="0"/>
        <cfvo type="num" val="0"/>
        <cfvo type="num" val="0"/>
      </iconSet>
    </cfRule>
  </conditionalFormatting>
  <conditionalFormatting sqref="L5:L11">
    <cfRule type="iconSet" priority="13">
      <iconSet iconSet="3Arrows">
        <cfvo type="percent" val="0"/>
        <cfvo type="num" val="0"/>
        <cfvo type="num" val="0"/>
      </iconSet>
    </cfRule>
  </conditionalFormatting>
  <conditionalFormatting sqref="I5:I11">
    <cfRule type="iconSet" priority="14">
      <iconSet iconSet="3Arrows">
        <cfvo type="percent" val="0"/>
        <cfvo type="num" val="0"/>
        <cfvo type="num" val="0"/>
      </iconSet>
    </cfRule>
  </conditionalFormatting>
  <conditionalFormatting sqref="Q5:Q11">
    <cfRule type="iconSet" priority="15">
      <iconSet iconSet="3Arrows">
        <cfvo type="percent" val="0"/>
        <cfvo type="num" val="0"/>
        <cfvo type="num" val="0"/>
      </iconSet>
    </cfRule>
  </conditionalFormatting>
  <conditionalFormatting sqref="T30:T36">
    <cfRule type="iconSet" priority="16">
      <iconSet iconSet="3Arrows">
        <cfvo type="percent" val="0"/>
        <cfvo type="num" val="0"/>
        <cfvo type="num" val="0"/>
      </iconSet>
    </cfRule>
  </conditionalFormatting>
  <conditionalFormatting sqref="L30:L36">
    <cfRule type="iconSet" priority="17">
      <iconSet iconSet="3Arrows">
        <cfvo type="percent" val="0"/>
        <cfvo type="num" val="0"/>
        <cfvo type="num" val="0"/>
      </iconSet>
    </cfRule>
  </conditionalFormatting>
  <conditionalFormatting sqref="I30:I36">
    <cfRule type="iconSet" priority="18">
      <iconSet iconSet="3Arrows">
        <cfvo type="percent" val="0"/>
        <cfvo type="num" val="0"/>
        <cfvo type="num" val="0"/>
      </iconSet>
    </cfRule>
  </conditionalFormatting>
  <conditionalFormatting sqref="Q30:Q36">
    <cfRule type="iconSet" priority="19">
      <iconSet iconSet="3Arrows">
        <cfvo type="percent" val="0"/>
        <cfvo type="num" val="0"/>
        <cfvo type="num" val="0"/>
      </iconSet>
    </cfRule>
  </conditionalFormatting>
  <conditionalFormatting sqref="T37">
    <cfRule type="iconSet" priority="20">
      <iconSet iconSet="3Arrows">
        <cfvo type="percent" val="0"/>
        <cfvo type="num" val="0"/>
        <cfvo type="num" val="0"/>
      </iconSet>
    </cfRule>
  </conditionalFormatting>
  <conditionalFormatting sqref="L37">
    <cfRule type="iconSet" priority="21">
      <iconSet iconSet="3Arrows">
        <cfvo type="percent" val="0"/>
        <cfvo type="num" val="0"/>
        <cfvo type="num" val="0"/>
      </iconSet>
    </cfRule>
  </conditionalFormatting>
  <conditionalFormatting sqref="I37">
    <cfRule type="iconSet" priority="22">
      <iconSet iconSet="3Arrows">
        <cfvo type="percent" val="0"/>
        <cfvo type="num" val="0"/>
        <cfvo type="num" val="0"/>
      </iconSet>
    </cfRule>
  </conditionalFormatting>
  <conditionalFormatting sqref="Q37">
    <cfRule type="iconSet" priority="23">
      <iconSet iconSet="3Arrows">
        <cfvo type="percent" val="0"/>
        <cfvo type="num" val="0"/>
        <cfvo type="num" val="0"/>
      </iconSet>
    </cfRule>
  </conditionalFormatting>
  <conditionalFormatting sqref="T17:T23">
    <cfRule type="iconSet" priority="24">
      <iconSet iconSet="3Arrows">
        <cfvo type="percent" val="0"/>
        <cfvo type="num" val="0"/>
        <cfvo type="num" val="0"/>
      </iconSet>
    </cfRule>
  </conditionalFormatting>
  <conditionalFormatting sqref="L17:L23">
    <cfRule type="iconSet" priority="25">
      <iconSet iconSet="3Arrows">
        <cfvo type="percent" val="0"/>
        <cfvo type="num" val="0"/>
        <cfvo type="num" val="0"/>
      </iconSet>
    </cfRule>
  </conditionalFormatting>
  <conditionalFormatting sqref="I17:I23">
    <cfRule type="iconSet" priority="26">
      <iconSet iconSet="3Arrows">
        <cfvo type="percent" val="0"/>
        <cfvo type="num" val="0"/>
        <cfvo type="num" val="0"/>
      </iconSet>
    </cfRule>
  </conditionalFormatting>
  <conditionalFormatting sqref="Q17:Q23">
    <cfRule type="iconSet" priority="27">
      <iconSet iconSet="3Arrows">
        <cfvo type="percent" val="0"/>
        <cfvo type="num" val="0"/>
        <cfvo type="num" val="0"/>
      </iconSet>
    </cfRule>
  </conditionalFormatting>
  <conditionalFormatting sqref="T24">
    <cfRule type="iconSet" priority="28">
      <iconSet iconSet="3Arrows">
        <cfvo type="percent" val="0"/>
        <cfvo type="num" val="0"/>
        <cfvo type="num" val="0"/>
      </iconSet>
    </cfRule>
  </conditionalFormatting>
  <conditionalFormatting sqref="L24">
    <cfRule type="iconSet" priority="29">
      <iconSet iconSet="3Arrows">
        <cfvo type="percent" val="0"/>
        <cfvo type="num" val="0"/>
        <cfvo type="num" val="0"/>
      </iconSet>
    </cfRule>
  </conditionalFormatting>
  <conditionalFormatting sqref="I24">
    <cfRule type="iconSet" priority="30">
      <iconSet iconSet="3Arrows">
        <cfvo type="percent" val="0"/>
        <cfvo type="num" val="0"/>
        <cfvo type="num" val="0"/>
      </iconSet>
    </cfRule>
  </conditionalFormatting>
  <conditionalFormatting sqref="Q24">
    <cfRule type="iconSet" priority="31">
      <iconSet iconSet="3Arrows">
        <cfvo type="percent" val="0"/>
        <cfvo type="num" val="0"/>
        <cfvo type="num" val="0"/>
      </iconSet>
    </cfRule>
  </conditionalFormatting>
  <conditionalFormatting sqref="M90 M98:M100">
    <cfRule type="iconSet" priority="32">
      <iconSet iconSet="3Arrows">
        <cfvo type="percent" val="0"/>
        <cfvo type="num" val="0"/>
        <cfvo type="num" val="0"/>
      </iconSet>
    </cfRule>
  </conditionalFormatting>
  <conditionalFormatting sqref="I90">
    <cfRule type="iconSet" priority="33">
      <iconSet iconSet="3Arrows">
        <cfvo type="percent" val="0"/>
        <cfvo type="num" val="0"/>
        <cfvo type="num" val="0"/>
      </iconSet>
    </cfRule>
  </conditionalFormatting>
  <conditionalFormatting sqref="M86">
    <cfRule type="iconSet" priority="34">
      <iconSet iconSet="3Arrows">
        <cfvo type="percent" val="0"/>
        <cfvo type="num" val="0"/>
        <cfvo type="num" val="0"/>
      </iconSet>
    </cfRule>
  </conditionalFormatting>
  <conditionalFormatting sqref="I86">
    <cfRule type="iconSet" priority="35">
      <iconSet iconSet="3Arrows">
        <cfvo type="percent" val="0"/>
        <cfvo type="num" val="0"/>
        <cfvo type="num" val="0"/>
      </iconSet>
    </cfRule>
  </conditionalFormatting>
  <conditionalFormatting sqref="M84:M85 M87:M89">
    <cfRule type="iconSet" priority="36">
      <iconSet iconSet="3Arrows">
        <cfvo type="percent" val="0"/>
        <cfvo type="num" val="0"/>
        <cfvo type="num" val="0"/>
      </iconSet>
    </cfRule>
  </conditionalFormatting>
  <conditionalFormatting sqref="I84:I85 I87:I89">
    <cfRule type="iconSet" priority="37">
      <iconSet iconSet="3Arrows">
        <cfvo type="percent" val="0"/>
        <cfvo type="num" val="0"/>
        <cfvo type="num" val="0"/>
      </iconSet>
    </cfRule>
  </conditionalFormatting>
  <conditionalFormatting sqref="I44:I55 I73:I76">
    <cfRule type="iconSet" priority="38">
      <iconSet iconSet="3Arrows">
        <cfvo type="percent" val="0"/>
        <cfvo type="num" val="0"/>
        <cfvo type="num" val="0"/>
      </iconSet>
    </cfRule>
  </conditionalFormatting>
  <conditionalFormatting sqref="M44:M55 M73:M76">
    <cfRule type="iconSet" priority="39">
      <iconSet iconSet="3Arrows">
        <cfvo type="percent" val="0"/>
        <cfvo type="num" val="0"/>
        <cfvo type="num" val="0"/>
      </iconSet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DD7EE"/>
  </sheetPr>
  <dimension ref="A1:R206"/>
  <sheetViews>
    <sheetView showGridLines="0" topLeftCell="A47" zoomScaleNormal="100" workbookViewId="0">
      <selection activeCell="K64" sqref="K64"/>
    </sheetView>
  </sheetViews>
  <sheetFormatPr baseColWidth="10" defaultColWidth="11.453125" defaultRowHeight="18"/>
  <cols>
    <col min="1" max="1" width="2.81640625" style="108" customWidth="1"/>
    <col min="2" max="2" width="13.1796875" style="108" customWidth="1"/>
    <col min="3" max="3" width="17.81640625" style="108" customWidth="1"/>
    <col min="4" max="4" width="16.1796875" style="108" customWidth="1"/>
    <col min="5" max="5" width="19.54296875" style="108" customWidth="1"/>
    <col min="6" max="6" width="16.453125" style="108" customWidth="1"/>
    <col min="7" max="7" width="16.1796875" style="108" customWidth="1"/>
    <col min="8" max="8" width="22.1796875" style="108" customWidth="1"/>
    <col min="9" max="10" width="13.81640625" style="108" customWidth="1"/>
    <col min="11" max="11" width="20.1796875" style="108" customWidth="1"/>
    <col min="12" max="12" width="17.1796875" style="108" customWidth="1"/>
    <col min="13" max="13" width="7.81640625" style="108" customWidth="1"/>
    <col min="14" max="14" width="16.1796875" style="108" customWidth="1"/>
    <col min="15" max="15" width="2.54296875" style="108" customWidth="1"/>
    <col min="16" max="16" width="4.1796875" style="108" customWidth="1"/>
    <col min="17" max="17" width="13.81640625" style="108" customWidth="1"/>
    <col min="18" max="18" width="12.1796875" style="108" customWidth="1"/>
    <col min="19" max="16384" width="11.453125" style="108"/>
  </cols>
  <sheetData>
    <row r="1" spans="1:16" ht="24" customHeight="1">
      <c r="C1" s="314" t="s">
        <v>156</v>
      </c>
      <c r="D1" s="314"/>
      <c r="E1" s="314"/>
      <c r="F1" s="314"/>
      <c r="G1" s="314"/>
      <c r="H1" s="314"/>
      <c r="I1" s="314"/>
      <c r="J1" s="314"/>
    </row>
    <row r="2" spans="1:16" ht="14.25" customHeight="1"/>
    <row r="3" spans="1:16" ht="21" customHeight="1">
      <c r="A3" s="109"/>
      <c r="C3" s="315" t="s">
        <v>1</v>
      </c>
      <c r="D3" s="315"/>
      <c r="E3" s="315"/>
      <c r="F3" s="315"/>
      <c r="G3" s="315"/>
      <c r="H3" s="315"/>
      <c r="I3" s="315"/>
      <c r="J3" s="315"/>
      <c r="K3" s="315"/>
      <c r="P3" s="110"/>
    </row>
    <row r="4" spans="1:16" ht="13.5" customHeight="1">
      <c r="A4" s="109"/>
    </row>
    <row r="5" spans="1:16" ht="13.5" customHeight="1">
      <c r="A5" s="109"/>
    </row>
    <row r="6" spans="1:16" ht="14.25" customHeight="1">
      <c r="A6" s="109"/>
      <c r="C6" s="111" t="s">
        <v>6</v>
      </c>
      <c r="D6" s="112" t="s">
        <v>7</v>
      </c>
      <c r="E6" s="113" t="s">
        <v>3</v>
      </c>
      <c r="F6" s="113" t="s">
        <v>9</v>
      </c>
    </row>
    <row r="7" spans="1:16" ht="14.25" customHeight="1">
      <c r="A7" s="109"/>
      <c r="B7" s="114" t="s">
        <v>8</v>
      </c>
      <c r="C7" s="115">
        <v>157176.5914</v>
      </c>
      <c r="D7" s="115">
        <v>166866.79399999999</v>
      </c>
      <c r="E7" s="115">
        <f>D7-C7</f>
        <v>9690.2025999999896</v>
      </c>
      <c r="F7" s="116">
        <f>D7/C7-1</f>
        <v>6.1651690710986973E-2</v>
      </c>
    </row>
    <row r="8" spans="1:16" ht="14.25" customHeight="1">
      <c r="A8" s="109"/>
      <c r="B8" s="114" t="s">
        <v>49</v>
      </c>
      <c r="C8" s="117">
        <v>4727250.5517780203</v>
      </c>
      <c r="D8" s="117">
        <v>5121030.82</v>
      </c>
      <c r="E8" s="117">
        <f>D8-C8</f>
        <v>393780.26822197996</v>
      </c>
      <c r="F8" s="116">
        <f>D8/C8-1</f>
        <v>8.3300062881979109E-2</v>
      </c>
      <c r="G8" s="118"/>
    </row>
    <row r="9" spans="1:16" ht="13.5" customHeight="1">
      <c r="A9" s="109"/>
    </row>
    <row r="10" spans="1:16" ht="13.5" customHeight="1">
      <c r="A10" s="109"/>
    </row>
    <row r="11" spans="1:16" ht="15" customHeight="1">
      <c r="A11" s="109"/>
      <c r="B11" s="316" t="s">
        <v>12</v>
      </c>
      <c r="C11" s="316"/>
      <c r="D11" s="316"/>
      <c r="E11" s="316"/>
      <c r="F11" s="316"/>
      <c r="G11" s="316"/>
      <c r="H11" s="316"/>
      <c r="I11" s="317" t="s">
        <v>13</v>
      </c>
      <c r="J11" s="317"/>
      <c r="K11" s="317"/>
      <c r="L11" s="317"/>
    </row>
    <row r="12" spans="1:16" ht="14.25" customHeight="1">
      <c r="A12" s="109"/>
      <c r="B12" s="119" t="s">
        <v>14</v>
      </c>
      <c r="C12" s="318" t="s">
        <v>15</v>
      </c>
      <c r="D12" s="318"/>
      <c r="E12" s="318"/>
      <c r="F12" s="119" t="s">
        <v>16</v>
      </c>
      <c r="G12" s="119" t="s">
        <v>17</v>
      </c>
      <c r="H12" s="120" t="s">
        <v>21</v>
      </c>
      <c r="I12" s="121" t="s">
        <v>18</v>
      </c>
      <c r="J12" s="122" t="s">
        <v>19</v>
      </c>
      <c r="K12" s="122" t="s">
        <v>20</v>
      </c>
      <c r="L12" s="122" t="s">
        <v>14</v>
      </c>
    </row>
    <row r="13" spans="1:16" ht="14.25" customHeight="1">
      <c r="A13" s="109"/>
      <c r="B13" s="319">
        <v>12000</v>
      </c>
      <c r="C13" s="320" t="s">
        <v>22</v>
      </c>
      <c r="D13" s="320"/>
      <c r="E13" s="320"/>
      <c r="F13" s="116">
        <v>0.7</v>
      </c>
      <c r="G13" s="123">
        <f>B13*F13</f>
        <v>8400</v>
      </c>
      <c r="H13" s="124">
        <v>0.9</v>
      </c>
      <c r="I13" s="125">
        <f>C8</f>
        <v>4727250.5517780203</v>
      </c>
      <c r="J13" s="125">
        <f>D8</f>
        <v>5121030.82</v>
      </c>
      <c r="K13" s="126">
        <f>IFERROR(J13/I13,0)</f>
        <v>1.0833000628819791</v>
      </c>
      <c r="L13" s="127">
        <f>IF(K13&lt;H13,0,K13*$G13)</f>
        <v>9099.7205282086252</v>
      </c>
    </row>
    <row r="14" spans="1:16" ht="27.75" customHeight="1">
      <c r="A14" s="109"/>
      <c r="B14" s="319"/>
      <c r="C14" s="320" t="s">
        <v>23</v>
      </c>
      <c r="D14" s="320"/>
      <c r="E14" s="320"/>
      <c r="F14" s="116">
        <v>0.12</v>
      </c>
      <c r="G14" s="123">
        <f>B13*F14</f>
        <v>1440</v>
      </c>
      <c r="H14" s="124">
        <v>0.8</v>
      </c>
      <c r="I14" s="116">
        <v>1</v>
      </c>
      <c r="J14" s="116"/>
      <c r="K14" s="116">
        <f>J14/I14</f>
        <v>0</v>
      </c>
      <c r="L14" s="127">
        <f>IF(K14&lt;H14,0,K14*$G14)</f>
        <v>0</v>
      </c>
    </row>
    <row r="15" spans="1:16" ht="27.75" customHeight="1">
      <c r="A15" s="109"/>
      <c r="B15" s="319"/>
      <c r="C15" s="320" t="s">
        <v>24</v>
      </c>
      <c r="D15" s="320"/>
      <c r="E15" s="320"/>
      <c r="F15" s="116">
        <v>0.05</v>
      </c>
      <c r="G15" s="123">
        <f>B$13*F$15</f>
        <v>600</v>
      </c>
      <c r="H15" s="124">
        <v>1</v>
      </c>
      <c r="I15" s="116">
        <v>1</v>
      </c>
      <c r="J15" s="116"/>
      <c r="K15" s="116">
        <f>J15/I15</f>
        <v>0</v>
      </c>
      <c r="L15" s="127">
        <f>IF(K15&lt;H15,0,K15*$G15)</f>
        <v>0</v>
      </c>
    </row>
    <row r="16" spans="1:16" ht="14.25" customHeight="1">
      <c r="A16" s="109"/>
      <c r="B16" s="319"/>
      <c r="C16" s="320" t="s">
        <v>25</v>
      </c>
      <c r="D16" s="320"/>
      <c r="E16" s="320"/>
      <c r="F16" s="116">
        <v>0.05</v>
      </c>
      <c r="G16" s="123">
        <f>B$13*F$15</f>
        <v>600</v>
      </c>
      <c r="H16" s="124">
        <v>0.75</v>
      </c>
      <c r="I16" s="116">
        <v>1</v>
      </c>
      <c r="J16" s="116"/>
      <c r="K16" s="116">
        <f>J16/I16</f>
        <v>0</v>
      </c>
      <c r="L16" s="127">
        <f>IF(K16&lt;H16,0,K16*$G16)</f>
        <v>0</v>
      </c>
    </row>
    <row r="17" spans="1:16" ht="14.25" customHeight="1">
      <c r="A17" s="109"/>
      <c r="B17" s="319"/>
      <c r="C17" s="320" t="s">
        <v>26</v>
      </c>
      <c r="D17" s="320"/>
      <c r="E17" s="320"/>
      <c r="F17" s="116">
        <v>0.08</v>
      </c>
      <c r="G17" s="123">
        <f>B13*F17</f>
        <v>960</v>
      </c>
      <c r="H17" s="124">
        <v>0.75</v>
      </c>
      <c r="I17" s="116">
        <v>1</v>
      </c>
      <c r="J17" s="116"/>
      <c r="K17" s="116">
        <f>J17/I17</f>
        <v>0</v>
      </c>
      <c r="L17" s="127">
        <f>IF(K17&lt;H17,0,K17*$G17)</f>
        <v>0</v>
      </c>
    </row>
    <row r="18" spans="1:16" ht="27" customHeight="1">
      <c r="A18" s="109"/>
      <c r="B18" s="128"/>
      <c r="E18" s="129" t="s">
        <v>27</v>
      </c>
      <c r="F18" s="130">
        <f>SUM(F13:F17)</f>
        <v>1</v>
      </c>
      <c r="G18" s="131">
        <f>SUM(G13:G17)</f>
        <v>12000</v>
      </c>
      <c r="K18" s="132" t="s">
        <v>28</v>
      </c>
      <c r="L18" s="133">
        <f>SUM(L14:L17)</f>
        <v>0</v>
      </c>
      <c r="N18" s="134"/>
      <c r="O18" s="135"/>
    </row>
    <row r="19" spans="1:16" ht="14.25" customHeight="1">
      <c r="A19" s="109"/>
      <c r="F19" s="136"/>
      <c r="G19" s="136"/>
      <c r="N19" s="134"/>
      <c r="O19" s="135"/>
    </row>
    <row r="20" spans="1:16" ht="18" customHeight="1">
      <c r="A20" s="109"/>
      <c r="F20" s="136"/>
      <c r="G20" s="136"/>
      <c r="K20" s="137" t="s">
        <v>29</v>
      </c>
      <c r="L20" s="138">
        <f>+L18+L13</f>
        <v>9099.7205282086252</v>
      </c>
    </row>
    <row r="21" spans="1:16" ht="13.5" customHeight="1">
      <c r="A21" s="109"/>
      <c r="F21" s="139"/>
      <c r="G21" s="139"/>
    </row>
    <row r="22" spans="1:16" ht="13.5" customHeight="1">
      <c r="A22" s="109"/>
      <c r="F22" s="139"/>
      <c r="G22" s="139"/>
      <c r="H22" s="140"/>
    </row>
    <row r="23" spans="1:16" ht="14.25" customHeight="1">
      <c r="A23" s="109"/>
      <c r="F23" s="139"/>
      <c r="G23" s="139"/>
      <c r="H23" s="140"/>
    </row>
    <row r="24" spans="1:16" ht="21" customHeight="1">
      <c r="C24" s="321" t="s">
        <v>30</v>
      </c>
      <c r="D24" s="321"/>
      <c r="E24" s="321"/>
      <c r="F24" s="321"/>
      <c r="G24" s="321"/>
      <c r="H24" s="321"/>
      <c r="I24" s="321"/>
      <c r="J24" s="321"/>
      <c r="K24" s="321"/>
    </row>
    <row r="25" spans="1:16" ht="13.5" customHeight="1">
      <c r="A25" s="109"/>
      <c r="P25" s="110"/>
    </row>
    <row r="27" spans="1:16" ht="14.25" customHeight="1">
      <c r="A27" s="109"/>
      <c r="C27" s="111" t="s">
        <v>6</v>
      </c>
      <c r="D27" s="112" t="s">
        <v>7</v>
      </c>
      <c r="E27" s="113" t="s">
        <v>3</v>
      </c>
      <c r="F27" s="113" t="s">
        <v>9</v>
      </c>
    </row>
    <row r="28" spans="1:16" ht="14.25" customHeight="1">
      <c r="A28" s="109"/>
      <c r="B28" s="114" t="s">
        <v>8</v>
      </c>
      <c r="C28" s="115">
        <v>29892</v>
      </c>
      <c r="D28" s="115">
        <v>25613.24</v>
      </c>
      <c r="E28" s="115">
        <f>D28-C28</f>
        <v>-4278.7599999999984</v>
      </c>
      <c r="F28" s="116">
        <f>D28/C28-1</f>
        <v>-0.14314063963602297</v>
      </c>
    </row>
    <row r="29" spans="1:16" ht="14.25" customHeight="1">
      <c r="A29" s="109"/>
      <c r="B29" s="114" t="s">
        <v>49</v>
      </c>
      <c r="C29" s="117">
        <v>2181324.4145</v>
      </c>
      <c r="D29" s="117">
        <v>1813161.12</v>
      </c>
      <c r="E29" s="117">
        <f>D29-C29</f>
        <v>-368163.29449999984</v>
      </c>
      <c r="F29" s="116">
        <f>D29/C29-1</f>
        <v>-0.16877970651806495</v>
      </c>
    </row>
    <row r="30" spans="1:16" ht="13.5" customHeight="1">
      <c r="A30" s="109"/>
    </row>
    <row r="31" spans="1:16" ht="13.5" customHeight="1">
      <c r="A31" s="109"/>
    </row>
    <row r="32" spans="1:16" ht="15" customHeight="1">
      <c r="A32" s="109"/>
      <c r="B32" s="316" t="s">
        <v>12</v>
      </c>
      <c r="C32" s="316"/>
      <c r="D32" s="316"/>
      <c r="E32" s="316"/>
      <c r="F32" s="316"/>
      <c r="G32" s="316"/>
      <c r="H32" s="316"/>
      <c r="I32" s="317" t="s">
        <v>13</v>
      </c>
      <c r="J32" s="317"/>
      <c r="K32" s="317"/>
      <c r="L32" s="317"/>
    </row>
    <row r="33" spans="1:15" ht="14.25" customHeight="1">
      <c r="A33" s="109"/>
      <c r="B33" s="119" t="s">
        <v>14</v>
      </c>
      <c r="C33" s="318" t="s">
        <v>15</v>
      </c>
      <c r="D33" s="318"/>
      <c r="E33" s="318"/>
      <c r="F33" s="119" t="s">
        <v>16</v>
      </c>
      <c r="G33" s="119" t="s">
        <v>17</v>
      </c>
      <c r="H33" s="120" t="s">
        <v>21</v>
      </c>
      <c r="I33" s="121" t="s">
        <v>18</v>
      </c>
      <c r="J33" s="122" t="s">
        <v>19</v>
      </c>
      <c r="K33" s="122" t="s">
        <v>20</v>
      </c>
      <c r="L33" s="122" t="s">
        <v>14</v>
      </c>
    </row>
    <row r="34" spans="1:15" ht="30" customHeight="1">
      <c r="A34" s="109"/>
      <c r="B34" s="322">
        <v>6500</v>
      </c>
      <c r="C34" s="320" t="s">
        <v>22</v>
      </c>
      <c r="D34" s="320"/>
      <c r="E34" s="320"/>
      <c r="F34" s="142">
        <v>0.15384615384615399</v>
      </c>
      <c r="G34" s="143">
        <v>1000</v>
      </c>
      <c r="H34" s="144">
        <v>0.5</v>
      </c>
      <c r="I34" s="141">
        <f>C29</f>
        <v>2181324.4145</v>
      </c>
      <c r="J34" s="141">
        <f>D29</f>
        <v>1813161.12</v>
      </c>
      <c r="K34" s="145">
        <f>IFERROR(J34/I34,0)</f>
        <v>0.83122029348193505</v>
      </c>
      <c r="L34" s="127">
        <f>IF(K34&lt;H34,0,K34*$G34)</f>
        <v>831.22029348193507</v>
      </c>
    </row>
    <row r="35" spans="1:15" ht="14.25" customHeight="1">
      <c r="A35" s="109"/>
      <c r="B35" s="322"/>
      <c r="C35" s="320" t="s">
        <v>32</v>
      </c>
      <c r="D35" s="320"/>
      <c r="E35" s="320"/>
      <c r="F35" s="142">
        <v>0.15384615384615399</v>
      </c>
      <c r="G35" s="143">
        <v>1000</v>
      </c>
      <c r="H35" s="144">
        <v>1</v>
      </c>
      <c r="I35" s="116">
        <v>1</v>
      </c>
      <c r="J35" s="141"/>
      <c r="K35" s="145">
        <f>IFERROR(J35/I35,0)</f>
        <v>0</v>
      </c>
      <c r="L35" s="127">
        <f>IF(K35&lt;H35,0,K35*$G35)</f>
        <v>0</v>
      </c>
    </row>
    <row r="36" spans="1:15" ht="27.75" customHeight="1">
      <c r="A36" s="109"/>
      <c r="B36" s="322"/>
      <c r="C36" s="320" t="s">
        <v>33</v>
      </c>
      <c r="D36" s="320"/>
      <c r="E36" s="320"/>
      <c r="F36" s="142">
        <v>0.230769230769231</v>
      </c>
      <c r="G36" s="143">
        <v>1500</v>
      </c>
      <c r="H36" s="144">
        <v>1</v>
      </c>
      <c r="I36" s="116">
        <v>1</v>
      </c>
      <c r="J36" s="116"/>
      <c r="K36" s="145">
        <f>IFERROR(J36/I36,0)</f>
        <v>0</v>
      </c>
      <c r="L36" s="127">
        <f>IF(K36&lt;H36,0,K36*$G36)</f>
        <v>0</v>
      </c>
    </row>
    <row r="37" spans="1:15" ht="14.25" customHeight="1">
      <c r="A37" s="109"/>
      <c r="B37" s="322"/>
      <c r="C37" s="320" t="s">
        <v>34</v>
      </c>
      <c r="D37" s="320"/>
      <c r="E37" s="320"/>
      <c r="F37" s="142">
        <v>0.230769230769231</v>
      </c>
      <c r="G37" s="143">
        <v>1500</v>
      </c>
      <c r="H37" s="144">
        <v>0.75</v>
      </c>
      <c r="I37" s="116">
        <v>1</v>
      </c>
      <c r="J37" s="116"/>
      <c r="K37" s="145">
        <f>IFERROR(J37/I37,0)</f>
        <v>0</v>
      </c>
      <c r="L37" s="127">
        <f>IF(K37&lt;H37,0,K37*$G37)</f>
        <v>0</v>
      </c>
    </row>
    <row r="38" spans="1:15" ht="14.25" customHeight="1">
      <c r="A38" s="109"/>
      <c r="B38" s="322"/>
      <c r="C38" s="320" t="s">
        <v>26</v>
      </c>
      <c r="D38" s="320"/>
      <c r="E38" s="320"/>
      <c r="F38" s="142">
        <v>0.230769230769231</v>
      </c>
      <c r="G38" s="143">
        <v>1500</v>
      </c>
      <c r="H38" s="144">
        <v>0.75</v>
      </c>
      <c r="I38" s="116">
        <v>1</v>
      </c>
      <c r="J38" s="116"/>
      <c r="K38" s="145">
        <f>IFERROR(J38/I38,0)</f>
        <v>0</v>
      </c>
      <c r="L38" s="127">
        <f>IF(K38&lt;H38,0,K38*$G38)</f>
        <v>0</v>
      </c>
    </row>
    <row r="39" spans="1:15" ht="27" customHeight="1">
      <c r="A39" s="109"/>
      <c r="B39" s="128"/>
      <c r="E39" s="130" t="s">
        <v>27</v>
      </c>
      <c r="F39" s="130">
        <f>SUM(F34:F38)</f>
        <v>1.0000000000000011</v>
      </c>
      <c r="G39" s="146">
        <f>SUM(G33:G38)</f>
        <v>6500</v>
      </c>
      <c r="K39" s="132" t="s">
        <v>28</v>
      </c>
      <c r="L39" s="133">
        <f>SUM(L36:L36)</f>
        <v>0</v>
      </c>
      <c r="N39" s="134"/>
      <c r="O39" s="135"/>
    </row>
    <row r="40" spans="1:15" ht="14.25" customHeight="1">
      <c r="A40" s="109"/>
      <c r="F40" s="136"/>
      <c r="G40" s="136"/>
      <c r="N40" s="134"/>
      <c r="O40" s="135"/>
    </row>
    <row r="41" spans="1:15" ht="18" customHeight="1">
      <c r="A41" s="109"/>
      <c r="F41" s="136"/>
      <c r="G41" s="136"/>
      <c r="K41" s="137" t="s">
        <v>29</v>
      </c>
      <c r="L41" s="138">
        <f>+L39+L34</f>
        <v>831.22029348193507</v>
      </c>
    </row>
    <row r="42" spans="1:15" ht="13.5" customHeight="1">
      <c r="F42" s="136"/>
      <c r="G42" s="136"/>
      <c r="H42" s="140"/>
    </row>
    <row r="43" spans="1:15" ht="13.5" customHeight="1">
      <c r="F43" s="136"/>
      <c r="G43" s="136"/>
    </row>
    <row r="44" spans="1:15" ht="14.25" customHeight="1"/>
    <row r="45" spans="1:15" ht="21" customHeight="1">
      <c r="C45" s="321" t="s">
        <v>41</v>
      </c>
      <c r="D45" s="321"/>
      <c r="E45" s="321"/>
      <c r="F45" s="321"/>
      <c r="G45" s="321"/>
      <c r="H45" s="321"/>
      <c r="I45" s="321"/>
      <c r="J45" s="321"/>
      <c r="K45" s="321"/>
    </row>
    <row r="48" spans="1:15" ht="14.25" customHeight="1">
      <c r="C48" s="111" t="s">
        <v>6</v>
      </c>
      <c r="D48" s="112" t="s">
        <v>7</v>
      </c>
      <c r="E48" s="113" t="s">
        <v>8</v>
      </c>
      <c r="F48" s="113" t="s">
        <v>9</v>
      </c>
    </row>
    <row r="49" spans="2:15" ht="14.25" customHeight="1">
      <c r="B49" s="114" t="s">
        <v>8</v>
      </c>
      <c r="C49" s="147">
        <v>21125.876</v>
      </c>
      <c r="D49" s="147">
        <v>23040.45</v>
      </c>
      <c r="E49" s="147">
        <f>D49-C49</f>
        <v>1914.5740000000005</v>
      </c>
      <c r="F49" s="116">
        <f>D49/C49-1</f>
        <v>9.0626963823890794E-2</v>
      </c>
    </row>
    <row r="50" spans="2:15" ht="14.25" customHeight="1">
      <c r="B50" s="114" t="s">
        <v>49</v>
      </c>
      <c r="C50" s="148">
        <v>1169969.7011152001</v>
      </c>
      <c r="D50" s="148">
        <v>1392992.43</v>
      </c>
      <c r="E50" s="148">
        <f>D50-C50</f>
        <v>223022.72888479987</v>
      </c>
      <c r="F50" s="116">
        <f>D50/C50-1</f>
        <v>0.1906226534518094</v>
      </c>
    </row>
    <row r="53" spans="2:15" ht="15" customHeight="1">
      <c r="B53" s="316" t="s">
        <v>12</v>
      </c>
      <c r="C53" s="316"/>
      <c r="D53" s="316"/>
      <c r="E53" s="316"/>
      <c r="F53" s="316"/>
      <c r="G53" s="316"/>
      <c r="H53" s="316"/>
      <c r="I53" s="317" t="s">
        <v>13</v>
      </c>
      <c r="J53" s="317"/>
      <c r="K53" s="317"/>
      <c r="L53" s="317"/>
    </row>
    <row r="54" spans="2:15" ht="14.25" customHeight="1">
      <c r="B54" s="119" t="s">
        <v>14</v>
      </c>
      <c r="C54" s="318" t="s">
        <v>15</v>
      </c>
      <c r="D54" s="318"/>
      <c r="E54" s="318"/>
      <c r="F54" s="119" t="s">
        <v>16</v>
      </c>
      <c r="G54" s="119" t="s">
        <v>17</v>
      </c>
      <c r="H54" s="120" t="s">
        <v>21</v>
      </c>
      <c r="I54" s="121" t="s">
        <v>18</v>
      </c>
      <c r="J54" s="122" t="s">
        <v>19</v>
      </c>
      <c r="K54" s="122" t="s">
        <v>20</v>
      </c>
      <c r="L54" s="122" t="s">
        <v>14</v>
      </c>
    </row>
    <row r="55" spans="2:15" ht="14.25" customHeight="1">
      <c r="B55" s="319">
        <v>10000</v>
      </c>
      <c r="C55" s="323" t="s">
        <v>22</v>
      </c>
      <c r="D55" s="323"/>
      <c r="E55" s="323"/>
      <c r="F55" s="149">
        <v>0.6</v>
      </c>
      <c r="G55" s="123">
        <f>+F55*B55</f>
        <v>6000</v>
      </c>
      <c r="H55" s="144">
        <v>0.8</v>
      </c>
      <c r="I55" s="125">
        <f>C50</f>
        <v>1169969.7011152001</v>
      </c>
      <c r="J55" s="141">
        <f>D50</f>
        <v>1392992.43</v>
      </c>
      <c r="K55" s="126">
        <f>IFERROR(J55/I55,0)</f>
        <v>1.1906226534518094</v>
      </c>
      <c r="L55" s="127">
        <f>IF(K55&lt;H55,0,K55*$G55)</f>
        <v>7143.7359207108566</v>
      </c>
    </row>
    <row r="56" spans="2:15" ht="27.75" customHeight="1">
      <c r="B56" s="319"/>
      <c r="C56" s="323" t="s">
        <v>42</v>
      </c>
      <c r="D56" s="323"/>
      <c r="E56" s="323"/>
      <c r="F56" s="149">
        <v>0.1</v>
      </c>
      <c r="G56" s="123">
        <f>B55*F56</f>
        <v>1000</v>
      </c>
      <c r="H56" s="124">
        <v>0.8</v>
      </c>
      <c r="I56" s="145">
        <v>1</v>
      </c>
      <c r="J56" s="150"/>
      <c r="K56" s="145">
        <f>J56/I56</f>
        <v>0</v>
      </c>
      <c r="L56" s="127">
        <f>IF(K56&lt;H56,0,K56*$G56)</f>
        <v>0</v>
      </c>
      <c r="O56" s="132"/>
    </row>
    <row r="57" spans="2:15" ht="27.75" customHeight="1">
      <c r="B57" s="319"/>
      <c r="C57" s="323" t="s">
        <v>24</v>
      </c>
      <c r="D57" s="323"/>
      <c r="E57" s="323"/>
      <c r="F57" s="149">
        <v>0.12</v>
      </c>
      <c r="G57" s="123">
        <f>+F57*B55</f>
        <v>1200</v>
      </c>
      <c r="H57" s="144">
        <v>1</v>
      </c>
      <c r="I57" s="145">
        <v>1</v>
      </c>
      <c r="J57" s="145"/>
      <c r="K57" s="126">
        <f>IFERROR(J57/I57,0)</f>
        <v>0</v>
      </c>
      <c r="L57" s="127">
        <f>IF(K57&lt;H57,0,K57*$G57)</f>
        <v>0</v>
      </c>
    </row>
    <row r="58" spans="2:15" ht="14.25" customHeight="1">
      <c r="B58" s="319"/>
      <c r="C58" s="323" t="s">
        <v>43</v>
      </c>
      <c r="D58" s="323"/>
      <c r="E58" s="323"/>
      <c r="F58" s="149">
        <v>7.0000000000000007E-2</v>
      </c>
      <c r="G58" s="123">
        <f>+F58*B55</f>
        <v>700.00000000000011</v>
      </c>
      <c r="H58" s="144">
        <v>1</v>
      </c>
      <c r="I58" s="145">
        <v>1</v>
      </c>
      <c r="J58" s="145"/>
      <c r="K58" s="126">
        <f>IFERROR(J58/I58,0)</f>
        <v>0</v>
      </c>
      <c r="L58" s="127">
        <f>IF(K58&lt;H58,0,K58*$G58)</f>
        <v>0</v>
      </c>
    </row>
    <row r="59" spans="2:15" ht="14.25" customHeight="1">
      <c r="B59" s="319"/>
      <c r="C59" s="323" t="s">
        <v>26</v>
      </c>
      <c r="D59" s="323"/>
      <c r="E59" s="323"/>
      <c r="F59" s="151">
        <v>0.11</v>
      </c>
      <c r="G59" s="123">
        <f>+F59*B55</f>
        <v>1100</v>
      </c>
      <c r="H59" s="144">
        <v>1</v>
      </c>
      <c r="I59" s="145">
        <v>1</v>
      </c>
      <c r="J59" s="145"/>
      <c r="K59" s="126">
        <f>IFERROR(J59/I59,0)</f>
        <v>0</v>
      </c>
      <c r="L59" s="127">
        <f>IF(K59&lt;H59,0,K59*$G59)</f>
        <v>0</v>
      </c>
    </row>
    <row r="60" spans="2:15" ht="27" customHeight="1">
      <c r="B60" s="128"/>
      <c r="E60" s="129" t="s">
        <v>27</v>
      </c>
      <c r="F60" s="130">
        <f>SUM(F55:F59)</f>
        <v>0.99999999999999989</v>
      </c>
      <c r="G60" s="131">
        <f>SUM(G55:G59)</f>
        <v>10000</v>
      </c>
      <c r="H60" s="139"/>
      <c r="K60" s="132" t="s">
        <v>28</v>
      </c>
      <c r="L60" s="133">
        <f>SUM(L56:L59)</f>
        <v>0</v>
      </c>
      <c r="N60" s="152"/>
    </row>
    <row r="61" spans="2:15" ht="14.25" customHeight="1">
      <c r="F61" s="136"/>
      <c r="G61" s="136"/>
    </row>
    <row r="62" spans="2:15" ht="18" customHeight="1">
      <c r="F62" s="136"/>
      <c r="G62" s="136"/>
      <c r="K62" s="137" t="s">
        <v>29</v>
      </c>
      <c r="L62" s="138">
        <f>+L60+L55</f>
        <v>7143.7359207108566</v>
      </c>
    </row>
    <row r="63" spans="2:15" ht="13.5" customHeight="1">
      <c r="F63" s="136"/>
      <c r="G63" s="136"/>
    </row>
    <row r="65" spans="1:12" ht="14.25" customHeight="1"/>
    <row r="66" spans="1:12" ht="21" customHeight="1">
      <c r="C66" s="321" t="s">
        <v>47</v>
      </c>
      <c r="D66" s="321"/>
      <c r="E66" s="321"/>
      <c r="F66" s="321"/>
      <c r="G66" s="321"/>
      <c r="H66" s="321"/>
      <c r="I66" s="321"/>
      <c r="J66" s="321"/>
      <c r="K66" s="321"/>
    </row>
    <row r="69" spans="1:12" ht="14.25" customHeight="1">
      <c r="A69" s="109"/>
      <c r="C69" s="111" t="s">
        <v>6</v>
      </c>
      <c r="D69" s="112" t="s">
        <v>7</v>
      </c>
      <c r="E69" s="113" t="s">
        <v>8</v>
      </c>
      <c r="F69" s="113" t="s">
        <v>9</v>
      </c>
    </row>
    <row r="70" spans="1:12" ht="14.25" customHeight="1">
      <c r="B70" s="114" t="s">
        <v>8</v>
      </c>
      <c r="C70" s="115">
        <v>61091.8</v>
      </c>
      <c r="D70" s="115">
        <v>38980.6999</v>
      </c>
      <c r="E70" s="115">
        <f>D70-C70</f>
        <v>-22111.100100000003</v>
      </c>
      <c r="F70" s="116">
        <f>D70/C70-1</f>
        <v>-0.36193237226599972</v>
      </c>
    </row>
    <row r="71" spans="1:12" ht="14.25" customHeight="1">
      <c r="B71" s="114" t="s">
        <v>49</v>
      </c>
      <c r="C71" s="117">
        <v>1742620.9702024001</v>
      </c>
      <c r="D71" s="117">
        <v>1267303.81</v>
      </c>
      <c r="E71" s="117">
        <f>D71-C71</f>
        <v>-475317.16020240006</v>
      </c>
      <c r="F71" s="116">
        <f>D71/C71-1</f>
        <v>-0.27275992216895761</v>
      </c>
    </row>
    <row r="74" spans="1:12" ht="15" customHeight="1">
      <c r="B74" s="316" t="s">
        <v>12</v>
      </c>
      <c r="C74" s="316"/>
      <c r="D74" s="316"/>
      <c r="E74" s="316"/>
      <c r="F74" s="316"/>
      <c r="G74" s="316"/>
      <c r="H74" s="316"/>
      <c r="I74" s="317" t="s">
        <v>13</v>
      </c>
      <c r="J74" s="317"/>
      <c r="K74" s="317"/>
      <c r="L74" s="317"/>
    </row>
    <row r="75" spans="1:12" ht="14.25" customHeight="1">
      <c r="B75" s="119" t="s">
        <v>14</v>
      </c>
      <c r="C75" s="318" t="s">
        <v>15</v>
      </c>
      <c r="D75" s="318"/>
      <c r="E75" s="318"/>
      <c r="F75" s="119" t="s">
        <v>16</v>
      </c>
      <c r="G75" s="119" t="s">
        <v>17</v>
      </c>
      <c r="H75" s="120" t="s">
        <v>21</v>
      </c>
      <c r="I75" s="121" t="s">
        <v>18</v>
      </c>
      <c r="J75" s="122" t="s">
        <v>19</v>
      </c>
      <c r="K75" s="122" t="s">
        <v>20</v>
      </c>
      <c r="L75" s="122" t="s">
        <v>14</v>
      </c>
    </row>
    <row r="76" spans="1:12" ht="14.25" customHeight="1">
      <c r="B76" s="319"/>
      <c r="C76" s="324" t="s">
        <v>22</v>
      </c>
      <c r="D76" s="324"/>
      <c r="E76" s="324"/>
      <c r="F76" s="149">
        <v>1</v>
      </c>
      <c r="G76" s="123">
        <f>+F76*B76</f>
        <v>0</v>
      </c>
      <c r="H76" s="145">
        <v>0.8</v>
      </c>
      <c r="I76" s="125">
        <f>C71</f>
        <v>1742620.9702024001</v>
      </c>
      <c r="J76" s="141">
        <f>D71</f>
        <v>1267303.81</v>
      </c>
      <c r="K76" s="126">
        <f>IFERROR(J76/I76,0)</f>
        <v>0.72724007783104239</v>
      </c>
      <c r="L76" s="127">
        <f>IF(K76&lt;H76,0,K76*$G76)</f>
        <v>0</v>
      </c>
    </row>
    <row r="77" spans="1:12" ht="14.25" customHeight="1">
      <c r="B77" s="319"/>
      <c r="C77" s="320"/>
      <c r="D77" s="320"/>
      <c r="E77" s="320"/>
      <c r="F77" s="149"/>
      <c r="G77" s="123">
        <f>B76*F77</f>
        <v>0</v>
      </c>
      <c r="H77" s="153">
        <v>0.8</v>
      </c>
      <c r="I77" s="145">
        <v>1</v>
      </c>
      <c r="J77" s="150"/>
      <c r="K77" s="145">
        <f>J77/I77</f>
        <v>0</v>
      </c>
      <c r="L77" s="127">
        <f>IF(K77&lt;H77,0,K77*$G77)</f>
        <v>0</v>
      </c>
    </row>
    <row r="78" spans="1:12" ht="13.5" customHeight="1">
      <c r="B78" s="319"/>
      <c r="C78" s="320"/>
      <c r="D78" s="320"/>
      <c r="E78" s="320"/>
      <c r="F78" s="149"/>
      <c r="G78" s="123">
        <f>+F78*B76</f>
        <v>0</v>
      </c>
      <c r="H78" s="145">
        <v>1</v>
      </c>
      <c r="I78" s="145">
        <v>1</v>
      </c>
      <c r="J78" s="145"/>
      <c r="K78" s="126">
        <f>IFERROR(J78/I78,0)</f>
        <v>0</v>
      </c>
      <c r="L78" s="127">
        <f>IF(K78&lt;H78,0,K78*$G78)</f>
        <v>0</v>
      </c>
    </row>
    <row r="79" spans="1:12" ht="13.5" customHeight="1">
      <c r="B79" s="319"/>
      <c r="C79" s="320"/>
      <c r="D79" s="320"/>
      <c r="E79" s="320"/>
      <c r="F79" s="149"/>
      <c r="G79" s="123">
        <f>+F79*B76</f>
        <v>0</v>
      </c>
      <c r="H79" s="145">
        <v>1</v>
      </c>
      <c r="I79" s="145">
        <v>1</v>
      </c>
      <c r="J79" s="145"/>
      <c r="K79" s="126">
        <f>IFERROR(J79/I79,0)</f>
        <v>0</v>
      </c>
      <c r="L79" s="127">
        <f>IF(K79&lt;H79,0,K79*$G79)</f>
        <v>0</v>
      </c>
    </row>
    <row r="80" spans="1:12" ht="13.5" customHeight="1">
      <c r="B80" s="319"/>
      <c r="C80" s="320"/>
      <c r="D80" s="320"/>
      <c r="E80" s="320"/>
      <c r="F80" s="151"/>
      <c r="G80" s="123">
        <f>+F80*B76</f>
        <v>0</v>
      </c>
      <c r="H80" s="145">
        <v>1</v>
      </c>
      <c r="I80" s="145">
        <v>1</v>
      </c>
      <c r="J80" s="145"/>
      <c r="K80" s="126">
        <f>IFERROR(J80/I80,0)</f>
        <v>0</v>
      </c>
      <c r="L80" s="127">
        <f>IF(K80&lt;H80,0,K80*$G80)</f>
        <v>0</v>
      </c>
    </row>
    <row r="81" spans="1:14" ht="27" customHeight="1">
      <c r="B81" s="128"/>
      <c r="E81" s="129" t="s">
        <v>27</v>
      </c>
      <c r="F81" s="130">
        <f>SUM(F76:F80)</f>
        <v>1</v>
      </c>
      <c r="G81" s="131">
        <f>SUM(G76:G80)</f>
        <v>0</v>
      </c>
      <c r="H81" s="139"/>
      <c r="K81" s="132" t="s">
        <v>28</v>
      </c>
      <c r="L81" s="133">
        <f>SUM(L77:L80)</f>
        <v>0</v>
      </c>
      <c r="N81" s="152"/>
    </row>
    <row r="82" spans="1:14" ht="14.25" customHeight="1">
      <c r="F82" s="136"/>
      <c r="G82" s="136"/>
    </row>
    <row r="83" spans="1:14" ht="18" customHeight="1">
      <c r="F83" s="136"/>
      <c r="G83" s="136"/>
      <c r="K83" s="137" t="s">
        <v>29</v>
      </c>
      <c r="L83" s="138">
        <f>+L81+L76</f>
        <v>0</v>
      </c>
    </row>
    <row r="84" spans="1:14" ht="13.5" customHeight="1">
      <c r="F84" s="136"/>
      <c r="G84" s="136"/>
    </row>
    <row r="86" spans="1:14" ht="14.25" customHeight="1"/>
    <row r="87" spans="1:14" ht="21" customHeight="1">
      <c r="C87" s="321" t="s">
        <v>157</v>
      </c>
      <c r="D87" s="321"/>
      <c r="E87" s="321"/>
      <c r="F87" s="321"/>
      <c r="G87" s="321"/>
      <c r="H87" s="321"/>
      <c r="I87" s="321"/>
      <c r="J87" s="321"/>
      <c r="K87" s="321"/>
    </row>
    <row r="90" spans="1:14" ht="14.25" customHeight="1">
      <c r="A90" s="109"/>
      <c r="C90" s="111" t="s">
        <v>6</v>
      </c>
      <c r="D90" s="112" t="s">
        <v>7</v>
      </c>
      <c r="E90" s="113" t="s">
        <v>8</v>
      </c>
      <c r="F90" s="113" t="s">
        <v>9</v>
      </c>
    </row>
    <row r="91" spans="1:14" ht="14.25" customHeight="1">
      <c r="B91" s="114" t="s">
        <v>8</v>
      </c>
      <c r="C91" s="115">
        <v>61091.8</v>
      </c>
      <c r="D91" s="115">
        <v>38980.6999</v>
      </c>
      <c r="E91" s="115">
        <f>D91-C91</f>
        <v>-22111.100100000003</v>
      </c>
      <c r="F91" s="116">
        <f>D91/C91-1</f>
        <v>-0.36193237226599972</v>
      </c>
    </row>
    <row r="92" spans="1:14" ht="14.25" customHeight="1">
      <c r="B92" s="114" t="s">
        <v>49</v>
      </c>
      <c r="C92" s="117">
        <v>1742620.9702024001</v>
      </c>
      <c r="D92" s="117">
        <v>1267303.81</v>
      </c>
      <c r="E92" s="117">
        <f>D92-C92</f>
        <v>-475317.16020240006</v>
      </c>
      <c r="F92" s="116">
        <f>D92/C92-1</f>
        <v>-0.27275992216895761</v>
      </c>
    </row>
    <row r="95" spans="1:14" ht="15" customHeight="1">
      <c r="B95" s="316" t="s">
        <v>12</v>
      </c>
      <c r="C95" s="316"/>
      <c r="D95" s="316"/>
      <c r="E95" s="316"/>
      <c r="F95" s="316"/>
      <c r="G95" s="316"/>
      <c r="H95" s="316"/>
      <c r="I95" s="317" t="s">
        <v>13</v>
      </c>
      <c r="J95" s="317"/>
      <c r="K95" s="317"/>
      <c r="L95" s="317"/>
    </row>
    <row r="96" spans="1:14" ht="14.25" customHeight="1">
      <c r="B96" s="119" t="s">
        <v>14</v>
      </c>
      <c r="C96" s="318" t="s">
        <v>15</v>
      </c>
      <c r="D96" s="318"/>
      <c r="E96" s="318"/>
      <c r="F96" s="119" t="s">
        <v>16</v>
      </c>
      <c r="G96" s="119" t="s">
        <v>17</v>
      </c>
      <c r="H96" s="120" t="s">
        <v>21</v>
      </c>
      <c r="I96" s="121" t="s">
        <v>18</v>
      </c>
      <c r="J96" s="122" t="s">
        <v>19</v>
      </c>
      <c r="K96" s="122" t="s">
        <v>20</v>
      </c>
      <c r="L96" s="122" t="s">
        <v>14</v>
      </c>
    </row>
    <row r="97" spans="2:14" ht="14.25" customHeight="1">
      <c r="B97" s="319"/>
      <c r="C97" s="325" t="s">
        <v>22</v>
      </c>
      <c r="D97" s="325"/>
      <c r="E97" s="325"/>
      <c r="F97" s="149">
        <v>1</v>
      </c>
      <c r="G97" s="123">
        <f>+F97*B97</f>
        <v>0</v>
      </c>
      <c r="H97" s="145">
        <v>0.8</v>
      </c>
      <c r="I97" s="125">
        <f>C92</f>
        <v>1742620.9702024001</v>
      </c>
      <c r="J97" s="141">
        <f>D92</f>
        <v>1267303.81</v>
      </c>
      <c r="K97" s="126">
        <f>IFERROR(J97/I97,0)</f>
        <v>0.72724007783104239</v>
      </c>
      <c r="L97" s="127">
        <f>IF(K97&lt;H97,0,K97*$G97)</f>
        <v>0</v>
      </c>
    </row>
    <row r="98" spans="2:14" ht="14.25" customHeight="1">
      <c r="B98" s="319"/>
      <c r="C98" s="326"/>
      <c r="D98" s="326"/>
      <c r="E98" s="326"/>
      <c r="F98" s="149"/>
      <c r="G98" s="123">
        <f>B97*F98</f>
        <v>0</v>
      </c>
      <c r="H98" s="153">
        <v>0.8</v>
      </c>
      <c r="I98" s="145">
        <v>1</v>
      </c>
      <c r="J98" s="150"/>
      <c r="K98" s="145">
        <f>J98/I98</f>
        <v>0</v>
      </c>
      <c r="L98" s="127">
        <f>IF(K98&lt;H98,0,K98*$G98)</f>
        <v>0</v>
      </c>
    </row>
    <row r="99" spans="2:14" ht="13.5" customHeight="1">
      <c r="B99" s="319"/>
      <c r="C99" s="326"/>
      <c r="D99" s="326"/>
      <c r="E99" s="326"/>
      <c r="F99" s="149"/>
      <c r="G99" s="123">
        <f>+F99*B97</f>
        <v>0</v>
      </c>
      <c r="H99" s="145">
        <v>1</v>
      </c>
      <c r="I99" s="145">
        <v>1</v>
      </c>
      <c r="J99" s="145"/>
      <c r="K99" s="126">
        <f>IFERROR(J99/I99,0)</f>
        <v>0</v>
      </c>
      <c r="L99" s="127">
        <f>IF(K99&lt;H99,0,K99*$G99)</f>
        <v>0</v>
      </c>
    </row>
    <row r="100" spans="2:14" ht="13.5" customHeight="1">
      <c r="B100" s="319"/>
      <c r="C100" s="326"/>
      <c r="D100" s="326"/>
      <c r="E100" s="326"/>
      <c r="F100" s="149"/>
      <c r="G100" s="123">
        <f>+F100*B97</f>
        <v>0</v>
      </c>
      <c r="H100" s="145">
        <v>1</v>
      </c>
      <c r="I100" s="145">
        <v>1</v>
      </c>
      <c r="J100" s="145"/>
      <c r="K100" s="126">
        <f>IFERROR(J100/I100,0)</f>
        <v>0</v>
      </c>
      <c r="L100" s="127">
        <f>IF(K100&lt;H100,0,K100*$G100)</f>
        <v>0</v>
      </c>
    </row>
    <row r="101" spans="2:14" ht="13.5" customHeight="1">
      <c r="B101" s="319"/>
      <c r="C101" s="326"/>
      <c r="D101" s="326"/>
      <c r="E101" s="326"/>
      <c r="F101" s="151"/>
      <c r="G101" s="123">
        <f>+F101*B97</f>
        <v>0</v>
      </c>
      <c r="H101" s="145">
        <v>1</v>
      </c>
      <c r="I101" s="145">
        <v>1</v>
      </c>
      <c r="J101" s="145"/>
      <c r="K101" s="126">
        <f>IFERROR(J101/I101,0)</f>
        <v>0</v>
      </c>
      <c r="L101" s="127">
        <f>IF(K101&lt;H101,0,K101*$G101)</f>
        <v>0</v>
      </c>
    </row>
    <row r="102" spans="2:14" ht="27" customHeight="1">
      <c r="B102" s="128"/>
      <c r="E102" s="129" t="s">
        <v>27</v>
      </c>
      <c r="F102" s="130">
        <f>SUM(F97:F101)</f>
        <v>1</v>
      </c>
      <c r="G102" s="131">
        <f>SUM(G97:G101)</f>
        <v>0</v>
      </c>
      <c r="H102" s="139"/>
      <c r="K102" s="132" t="s">
        <v>28</v>
      </c>
      <c r="L102" s="133">
        <f>SUM(L98:L101)</f>
        <v>0</v>
      </c>
      <c r="N102" s="152"/>
    </row>
    <row r="103" spans="2:14" ht="14.25" customHeight="1">
      <c r="F103" s="136"/>
      <c r="G103" s="136"/>
    </row>
    <row r="104" spans="2:14" ht="18" customHeight="1">
      <c r="F104" s="136"/>
      <c r="G104" s="136"/>
      <c r="K104" s="137" t="s">
        <v>29</v>
      </c>
      <c r="L104" s="138">
        <f>+L102+L97</f>
        <v>0</v>
      </c>
    </row>
    <row r="105" spans="2:14" ht="13.5" customHeight="1">
      <c r="F105" s="139"/>
      <c r="G105" s="139"/>
    </row>
    <row r="107" spans="2:14" ht="14.25" customHeight="1"/>
    <row r="108" spans="2:14" ht="21" customHeight="1">
      <c r="C108" s="321" t="s">
        <v>37</v>
      </c>
      <c r="D108" s="321"/>
      <c r="E108" s="321"/>
      <c r="F108" s="321"/>
      <c r="G108" s="321"/>
      <c r="H108" s="321"/>
      <c r="I108" s="321"/>
      <c r="J108" s="321"/>
      <c r="K108" s="321"/>
    </row>
    <row r="110" spans="2:14" ht="13.5" customHeight="1">
      <c r="C110" s="327" t="s">
        <v>2</v>
      </c>
      <c r="D110" s="327"/>
      <c r="E110" s="154" t="s">
        <v>3</v>
      </c>
      <c r="F110" s="154"/>
    </row>
    <row r="111" spans="2:14" ht="14.25" customHeight="1">
      <c r="B111" s="155" t="s">
        <v>5</v>
      </c>
      <c r="C111" s="111" t="s">
        <v>6</v>
      </c>
      <c r="D111" s="112" t="s">
        <v>7</v>
      </c>
      <c r="E111" s="113" t="s">
        <v>8</v>
      </c>
      <c r="F111" s="113" t="s">
        <v>9</v>
      </c>
    </row>
    <row r="112" spans="2:14" ht="14.25" customHeight="1">
      <c r="B112" s="156">
        <f>$B$5</f>
        <v>0</v>
      </c>
      <c r="C112" s="147">
        <v>27947.209289999999</v>
      </c>
      <c r="D112" s="147">
        <v>30138.18</v>
      </c>
      <c r="E112" s="147">
        <f>D112-C112</f>
        <v>2190.9707100000014</v>
      </c>
      <c r="F112" s="116">
        <f>D112/C112-1</f>
        <v>7.8396761811347249E-2</v>
      </c>
    </row>
    <row r="113" spans="2:12" ht="14.25" customHeight="1">
      <c r="C113" s="148">
        <v>1708627.9753187201</v>
      </c>
      <c r="D113" s="148">
        <v>1711839.77</v>
      </c>
      <c r="E113" s="148">
        <f>D113-C113</f>
        <v>3211.79468127992</v>
      </c>
      <c r="F113" s="116">
        <f>D113/C113-1</f>
        <v>1.8797507284642467E-3</v>
      </c>
    </row>
    <row r="116" spans="2:12" ht="15" customHeight="1">
      <c r="B116" s="316" t="s">
        <v>12</v>
      </c>
      <c r="C116" s="316"/>
      <c r="D116" s="316"/>
      <c r="E116" s="316"/>
      <c r="F116" s="316"/>
      <c r="G116" s="316"/>
      <c r="H116" s="316"/>
      <c r="I116" s="317" t="s">
        <v>13</v>
      </c>
      <c r="J116" s="317"/>
      <c r="K116" s="317"/>
      <c r="L116" s="317"/>
    </row>
    <row r="117" spans="2:12" ht="14.25" customHeight="1">
      <c r="B117" s="119" t="s">
        <v>14</v>
      </c>
      <c r="C117" s="318" t="s">
        <v>15</v>
      </c>
      <c r="D117" s="318"/>
      <c r="E117" s="318"/>
      <c r="F117" s="119" t="s">
        <v>16</v>
      </c>
      <c r="G117" s="119" t="s">
        <v>17</v>
      </c>
      <c r="H117" s="120" t="s">
        <v>21</v>
      </c>
      <c r="I117" s="121" t="s">
        <v>18</v>
      </c>
      <c r="J117" s="122" t="s">
        <v>19</v>
      </c>
      <c r="K117" s="122" t="s">
        <v>20</v>
      </c>
      <c r="L117" s="122" t="s">
        <v>14</v>
      </c>
    </row>
    <row r="118" spans="2:12" ht="14.25" customHeight="1">
      <c r="B118" s="328">
        <v>7000</v>
      </c>
      <c r="C118" s="323" t="s">
        <v>22</v>
      </c>
      <c r="D118" s="323"/>
      <c r="E118" s="323"/>
      <c r="F118" s="151">
        <v>0.5</v>
      </c>
      <c r="G118" s="127">
        <f>B118*F118</f>
        <v>3500</v>
      </c>
      <c r="H118" s="145">
        <v>0.95</v>
      </c>
      <c r="I118" s="141">
        <f>C113</f>
        <v>1708627.9753187201</v>
      </c>
      <c r="J118" s="141">
        <f>D113</f>
        <v>1711839.77</v>
      </c>
      <c r="K118" s="145">
        <f>IFERROR(J118/I118,0)</f>
        <v>1.0018797507284642</v>
      </c>
      <c r="L118" s="127">
        <f>IF(K118&lt;H118,0,K118*$G118)</f>
        <v>3506.5791275496249</v>
      </c>
    </row>
    <row r="119" spans="2:12" ht="21" customHeight="1">
      <c r="B119" s="328"/>
      <c r="C119" s="323" t="s">
        <v>38</v>
      </c>
      <c r="D119" s="323"/>
      <c r="E119" s="323"/>
      <c r="F119" s="151">
        <v>0.2</v>
      </c>
      <c r="G119" s="127">
        <f>B118*F119</f>
        <v>1400</v>
      </c>
      <c r="H119" s="145">
        <v>0.75</v>
      </c>
      <c r="I119" s="145">
        <v>1</v>
      </c>
      <c r="J119" s="145"/>
      <c r="K119" s="126">
        <f>IFERROR(J119/I119,0)</f>
        <v>0</v>
      </c>
      <c r="L119" s="127">
        <f>IF(K119&lt;H119,0,K119*$G119)</f>
        <v>0</v>
      </c>
    </row>
    <row r="120" spans="2:12" ht="14.25" customHeight="1">
      <c r="B120" s="328"/>
      <c r="C120" s="323" t="s">
        <v>39</v>
      </c>
      <c r="D120" s="323"/>
      <c r="E120" s="323"/>
      <c r="F120" s="151">
        <v>0.2</v>
      </c>
      <c r="G120" s="127">
        <f>B118*F120</f>
        <v>1400</v>
      </c>
      <c r="H120" s="145">
        <v>0.75</v>
      </c>
      <c r="I120" s="145">
        <v>1</v>
      </c>
      <c r="J120" s="145"/>
      <c r="K120" s="126">
        <f>IFERROR(J120/I120,0)</f>
        <v>0</v>
      </c>
      <c r="L120" s="127">
        <f>IF(K120&lt;H120,0,K120*$G120)</f>
        <v>0</v>
      </c>
    </row>
    <row r="121" spans="2:12" ht="14.25" customHeight="1">
      <c r="B121" s="328"/>
      <c r="C121" s="323" t="s">
        <v>40</v>
      </c>
      <c r="D121" s="323"/>
      <c r="E121" s="323"/>
      <c r="F121" s="149">
        <v>0.1</v>
      </c>
      <c r="G121" s="123">
        <f>+F121*B118</f>
        <v>700</v>
      </c>
      <c r="H121" s="145">
        <v>0.75</v>
      </c>
      <c r="I121" s="145">
        <v>1</v>
      </c>
      <c r="J121" s="145"/>
      <c r="K121" s="126">
        <f>IFERROR(J121/I121,0)</f>
        <v>0</v>
      </c>
      <c r="L121" s="127">
        <f>IF(K121&lt;H121,0,K121*$G121)</f>
        <v>0</v>
      </c>
    </row>
    <row r="122" spans="2:12" ht="27" customHeight="1">
      <c r="E122" s="129" t="s">
        <v>27</v>
      </c>
      <c r="F122" s="157">
        <f>SUM(F118:F121)</f>
        <v>0.99999999999999989</v>
      </c>
      <c r="G122" s="131">
        <f>SUM(G118:G121)</f>
        <v>7000</v>
      </c>
      <c r="H122" s="139"/>
      <c r="J122" s="118"/>
      <c r="K122" s="132" t="s">
        <v>28</v>
      </c>
      <c r="L122" s="133">
        <f>SUM(L119:L121)</f>
        <v>0</v>
      </c>
    </row>
    <row r="123" spans="2:12" ht="14.25" customHeight="1">
      <c r="F123" s="136"/>
      <c r="G123" s="136"/>
    </row>
    <row r="124" spans="2:12" ht="18" customHeight="1">
      <c r="F124" s="136"/>
      <c r="G124" s="136"/>
      <c r="K124" s="137" t="s">
        <v>29</v>
      </c>
      <c r="L124" s="138">
        <f>+L122+L118</f>
        <v>3506.5791275496249</v>
      </c>
    </row>
    <row r="199" spans="15:18" ht="13.5" customHeight="1">
      <c r="O199" s="108">
        <v>3</v>
      </c>
      <c r="P199" s="108">
        <v>3.1</v>
      </c>
      <c r="Q199" s="108">
        <f>+P199-O199</f>
        <v>0.10000000000000009</v>
      </c>
      <c r="R199" s="108">
        <f>+Q199/P199</f>
        <v>3.2258064516129059E-2</v>
      </c>
    </row>
    <row r="203" spans="15:18" ht="13.5" customHeight="1">
      <c r="Q203" s="136">
        <f>2000*3*12</f>
        <v>72000</v>
      </c>
    </row>
    <row r="206" spans="15:18" ht="13.5" customHeight="1">
      <c r="Q206" s="108">
        <f>2000*12</f>
        <v>24000</v>
      </c>
    </row>
  </sheetData>
  <mergeCells count="61">
    <mergeCell ref="B118:B121"/>
    <mergeCell ref="C118:E118"/>
    <mergeCell ref="C119:E119"/>
    <mergeCell ref="C120:E120"/>
    <mergeCell ref="C121:E121"/>
    <mergeCell ref="C108:K108"/>
    <mergeCell ref="C110:D110"/>
    <mergeCell ref="B116:H116"/>
    <mergeCell ref="I116:L116"/>
    <mergeCell ref="C117:E117"/>
    <mergeCell ref="C87:K87"/>
    <mergeCell ref="B95:H95"/>
    <mergeCell ref="I95:L95"/>
    <mergeCell ref="C96:E96"/>
    <mergeCell ref="B97:B101"/>
    <mergeCell ref="C97:E97"/>
    <mergeCell ref="C98:E98"/>
    <mergeCell ref="C99:E99"/>
    <mergeCell ref="C100:E100"/>
    <mergeCell ref="C101:E101"/>
    <mergeCell ref="C66:K66"/>
    <mergeCell ref="B74:H74"/>
    <mergeCell ref="I74:L74"/>
    <mergeCell ref="C75:E75"/>
    <mergeCell ref="B76:B80"/>
    <mergeCell ref="C76:E76"/>
    <mergeCell ref="C77:E77"/>
    <mergeCell ref="C78:E78"/>
    <mergeCell ref="C79:E79"/>
    <mergeCell ref="C80:E80"/>
    <mergeCell ref="C45:K45"/>
    <mergeCell ref="B53:H53"/>
    <mergeCell ref="I53:L53"/>
    <mergeCell ref="C54:E54"/>
    <mergeCell ref="B55:B59"/>
    <mergeCell ref="C55:E55"/>
    <mergeCell ref="C56:E56"/>
    <mergeCell ref="C57:E57"/>
    <mergeCell ref="C58:E58"/>
    <mergeCell ref="C59:E59"/>
    <mergeCell ref="C24:K24"/>
    <mergeCell ref="B32:H32"/>
    <mergeCell ref="I32:L32"/>
    <mergeCell ref="C33:E33"/>
    <mergeCell ref="B34:B38"/>
    <mergeCell ref="C34:E34"/>
    <mergeCell ref="C35:E35"/>
    <mergeCell ref="C36:E36"/>
    <mergeCell ref="C37:E37"/>
    <mergeCell ref="C38:E38"/>
    <mergeCell ref="B13:B17"/>
    <mergeCell ref="C13:E13"/>
    <mergeCell ref="C14:E14"/>
    <mergeCell ref="C15:E15"/>
    <mergeCell ref="C16:E16"/>
    <mergeCell ref="C17:E17"/>
    <mergeCell ref="C1:J1"/>
    <mergeCell ref="C3:K3"/>
    <mergeCell ref="B11:H11"/>
    <mergeCell ref="I11:L11"/>
    <mergeCell ref="C12:E12"/>
  </mergeCells>
  <conditionalFormatting sqref="F92">
    <cfRule type="iconSet" priority="2">
      <iconSet iconSet="3Arrows">
        <cfvo type="percent" val="0"/>
        <cfvo type="num" val="0"/>
        <cfvo type="num" val="0"/>
      </iconSet>
    </cfRule>
  </conditionalFormatting>
  <conditionalFormatting sqref="F91">
    <cfRule type="iconSet" priority="3">
      <iconSet iconSet="3Arrows">
        <cfvo type="percent" val="0"/>
        <cfvo type="num" val="0"/>
        <cfvo type="num" val="0"/>
      </iconSet>
    </cfRule>
  </conditionalFormatting>
  <conditionalFormatting sqref="F71">
    <cfRule type="iconSet" priority="4">
      <iconSet iconSet="3Arrows">
        <cfvo type="percent" val="0"/>
        <cfvo type="num" val="0"/>
        <cfvo type="num" val="0"/>
      </iconSet>
    </cfRule>
  </conditionalFormatting>
  <conditionalFormatting sqref="F70">
    <cfRule type="iconSet" priority="5">
      <iconSet iconSet="3Arrows">
        <cfvo type="percent" val="0"/>
        <cfvo type="num" val="0"/>
        <cfvo type="num" val="0"/>
      </iconSet>
    </cfRule>
  </conditionalFormatting>
  <conditionalFormatting sqref="F50">
    <cfRule type="iconSet" priority="6">
      <iconSet iconSet="3Arrows">
        <cfvo type="percent" val="0"/>
        <cfvo type="num" val="0"/>
        <cfvo type="num" val="0"/>
      </iconSet>
    </cfRule>
  </conditionalFormatting>
  <conditionalFormatting sqref="F49">
    <cfRule type="iconSet" priority="7">
      <iconSet iconSet="3Arrows">
        <cfvo type="percent" val="0"/>
        <cfvo type="num" val="0"/>
        <cfvo type="num" val="0"/>
      </iconSet>
    </cfRule>
  </conditionalFormatting>
  <conditionalFormatting sqref="F113">
    <cfRule type="iconSet" priority="8">
      <iconSet iconSet="3Arrows">
        <cfvo type="percent" val="0"/>
        <cfvo type="num" val="0"/>
        <cfvo type="num" val="0"/>
      </iconSet>
    </cfRule>
  </conditionalFormatting>
  <conditionalFormatting sqref="F112">
    <cfRule type="iconSet" priority="9">
      <iconSet iconSet="3Arrows">
        <cfvo type="percent" val="0"/>
        <cfvo type="num" val="0"/>
        <cfvo type="num" val="0"/>
      </iconSet>
    </cfRule>
  </conditionalFormatting>
  <conditionalFormatting sqref="F29">
    <cfRule type="iconSet" priority="10">
      <iconSet iconSet="3Arrows">
        <cfvo type="percent" val="0"/>
        <cfvo type="num" val="0"/>
        <cfvo type="num" val="0"/>
      </iconSet>
    </cfRule>
  </conditionalFormatting>
  <conditionalFormatting sqref="F28">
    <cfRule type="iconSet" priority="11">
      <iconSet iconSet="3Arrows">
        <cfvo type="percent" val="0"/>
        <cfvo type="num" val="0"/>
        <cfvo type="num" val="0"/>
      </iconSet>
    </cfRule>
  </conditionalFormatting>
  <conditionalFormatting sqref="F8:G8">
    <cfRule type="iconSet" priority="12">
      <iconSet iconSet="3Arrows">
        <cfvo type="percent" val="0"/>
        <cfvo type="num" val="0"/>
        <cfvo type="num" val="0"/>
      </iconSet>
    </cfRule>
  </conditionalFormatting>
  <conditionalFormatting sqref="F7">
    <cfRule type="iconSet" priority="13">
      <iconSet iconSet="3Arrows">
        <cfvo type="percent" val="0"/>
        <cfvo type="num" val="0"/>
        <cfvo type="num" val="0"/>
      </iconSet>
    </cfRule>
  </conditionalFormatting>
  <pageMargins left="0.23611111111111099" right="0.23611111111111099" top="0.74791666666666701" bottom="0.74791666666666701" header="0.511811023622047" footer="0.511811023622047"/>
  <pageSetup scale="70" orientation="landscape" horizontalDpi="300" verticalDpi="300"/>
  <rowBreaks count="2" manualBreakCount="2">
    <brk id="44" max="16383" man="1"/>
    <brk id="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R192"/>
  <sheetViews>
    <sheetView showGridLines="0" zoomScaleNormal="100" workbookViewId="0">
      <selection activeCell="K74" sqref="K74"/>
    </sheetView>
  </sheetViews>
  <sheetFormatPr baseColWidth="10" defaultColWidth="11.453125" defaultRowHeight="18"/>
  <cols>
    <col min="1" max="1" width="2.81640625" style="108" customWidth="1"/>
    <col min="2" max="2" width="13.1796875" style="108" customWidth="1"/>
    <col min="3" max="3" width="17.81640625" style="108" customWidth="1"/>
    <col min="4" max="4" width="16.1796875" style="108" customWidth="1"/>
    <col min="5" max="5" width="19.54296875" style="108" customWidth="1"/>
    <col min="6" max="6" width="16.453125" style="108" customWidth="1"/>
    <col min="7" max="7" width="16.1796875" style="108" customWidth="1"/>
    <col min="8" max="8" width="22.1796875" style="108" customWidth="1"/>
    <col min="9" max="10" width="13.81640625" style="108" customWidth="1"/>
    <col min="11" max="11" width="20.1796875" style="108" customWidth="1"/>
    <col min="12" max="12" width="22" style="108" customWidth="1"/>
    <col min="13" max="13" width="7.81640625" style="108" customWidth="1"/>
    <col min="14" max="14" width="16.1796875" style="108" customWidth="1"/>
    <col min="15" max="15" width="2.54296875" style="108" customWidth="1"/>
    <col min="16" max="16" width="4.1796875" style="108" customWidth="1"/>
    <col min="17" max="17" width="13.81640625" style="108" customWidth="1"/>
    <col min="18" max="18" width="12.1796875" style="108" customWidth="1"/>
    <col min="19" max="16384" width="11.453125" style="108"/>
  </cols>
  <sheetData>
    <row r="1" spans="1:16" ht="24" customHeight="1">
      <c r="C1" s="314" t="s">
        <v>158</v>
      </c>
      <c r="D1" s="314"/>
      <c r="E1" s="314"/>
      <c r="F1" s="314"/>
      <c r="G1" s="314"/>
      <c r="H1" s="314"/>
      <c r="I1" s="314"/>
      <c r="J1" s="314"/>
    </row>
    <row r="2" spans="1:16" ht="14.25" customHeight="1"/>
    <row r="3" spans="1:16" ht="21" customHeight="1">
      <c r="A3" s="109"/>
      <c r="C3" s="315" t="s">
        <v>1</v>
      </c>
      <c r="D3" s="315"/>
      <c r="E3" s="315"/>
      <c r="F3" s="315"/>
      <c r="G3" s="315"/>
      <c r="H3" s="315"/>
      <c r="I3" s="315"/>
      <c r="J3" s="315"/>
      <c r="K3" s="315"/>
      <c r="P3" s="110"/>
    </row>
    <row r="4" spans="1:16" ht="13.5" customHeight="1">
      <c r="A4" s="109"/>
    </row>
    <row r="5" spans="1:16" ht="13.5" customHeight="1">
      <c r="A5" s="109"/>
    </row>
    <row r="6" spans="1:16" ht="14.25" customHeight="1">
      <c r="A6" s="109"/>
      <c r="C6" s="111" t="s">
        <v>6</v>
      </c>
      <c r="D6" s="112" t="s">
        <v>7</v>
      </c>
      <c r="E6" s="113" t="s">
        <v>3</v>
      </c>
      <c r="F6" s="113" t="s">
        <v>9</v>
      </c>
    </row>
    <row r="7" spans="1:16" ht="14.25" customHeight="1">
      <c r="A7" s="109"/>
      <c r="B7" s="114" t="s">
        <v>8</v>
      </c>
      <c r="C7" s="115">
        <v>170541</v>
      </c>
      <c r="D7" s="115">
        <v>169858.36</v>
      </c>
      <c r="E7" s="115">
        <f>D7-C7</f>
        <v>-682.64000000001397</v>
      </c>
      <c r="F7" s="116">
        <f>D7/C7-1</f>
        <v>-4.0027911176785391E-3</v>
      </c>
    </row>
    <row r="8" spans="1:16" ht="14.25" customHeight="1">
      <c r="A8" s="109"/>
      <c r="B8" s="114" t="s">
        <v>49</v>
      </c>
      <c r="C8" s="117">
        <v>5173873.21</v>
      </c>
      <c r="D8" s="117">
        <v>6037366.4100000001</v>
      </c>
      <c r="E8" s="117">
        <f>D8-C8</f>
        <v>863493.20000000019</v>
      </c>
      <c r="F8" s="116">
        <f>D8/C8-1</f>
        <v>0.166894928606107</v>
      </c>
      <c r="G8" s="118"/>
    </row>
    <row r="9" spans="1:16" ht="13.5" customHeight="1">
      <c r="A9" s="109"/>
    </row>
    <row r="10" spans="1:16" ht="13.5" customHeight="1">
      <c r="A10" s="109"/>
    </row>
    <row r="11" spans="1:16" ht="15" customHeight="1">
      <c r="A11" s="109"/>
      <c r="B11" s="316" t="s">
        <v>12</v>
      </c>
      <c r="C11" s="316"/>
      <c r="D11" s="316"/>
      <c r="E11" s="316"/>
      <c r="F11" s="316"/>
      <c r="G11" s="316"/>
      <c r="H11" s="316"/>
      <c r="I11" s="317" t="s">
        <v>13</v>
      </c>
      <c r="J11" s="317"/>
      <c r="K11" s="317"/>
      <c r="L11" s="317"/>
    </row>
    <row r="12" spans="1:16" ht="14.25" customHeight="1">
      <c r="A12" s="109"/>
      <c r="B12" s="119" t="s">
        <v>14</v>
      </c>
      <c r="C12" s="318" t="s">
        <v>15</v>
      </c>
      <c r="D12" s="318"/>
      <c r="E12" s="318"/>
      <c r="F12" s="119" t="s">
        <v>16</v>
      </c>
      <c r="G12" s="119" t="s">
        <v>17</v>
      </c>
      <c r="H12" s="120" t="s">
        <v>21</v>
      </c>
      <c r="I12" s="121" t="s">
        <v>18</v>
      </c>
      <c r="J12" s="122" t="s">
        <v>19</v>
      </c>
      <c r="K12" s="122" t="s">
        <v>20</v>
      </c>
      <c r="L12" s="122" t="s">
        <v>14</v>
      </c>
    </row>
    <row r="13" spans="1:16" ht="14.25" customHeight="1">
      <c r="A13" s="109"/>
      <c r="B13" s="319">
        <v>11500</v>
      </c>
      <c r="C13" s="320" t="s">
        <v>22</v>
      </c>
      <c r="D13" s="320"/>
      <c r="E13" s="320"/>
      <c r="F13" s="116">
        <v>1</v>
      </c>
      <c r="G13" s="123">
        <f>B13*F13</f>
        <v>11500</v>
      </c>
      <c r="H13" s="124">
        <v>0.9</v>
      </c>
      <c r="I13" s="125">
        <f>C8</f>
        <v>5173873.21</v>
      </c>
      <c r="J13" s="125">
        <f>D8</f>
        <v>6037366.4100000001</v>
      </c>
      <c r="K13" s="126">
        <f>IFERROR(J13/I13,0)</f>
        <v>1.166894928606107</v>
      </c>
      <c r="L13" s="127">
        <f>IF(K13&lt;H13,0,K13*$G13)</f>
        <v>13419.29167897023</v>
      </c>
    </row>
    <row r="14" spans="1:16" ht="14.25" customHeight="1">
      <c r="A14" s="109"/>
      <c r="B14" s="319"/>
      <c r="C14" s="320"/>
      <c r="D14" s="320"/>
      <c r="E14" s="320"/>
      <c r="F14" s="116"/>
      <c r="G14" s="123">
        <f>B13*F14</f>
        <v>0</v>
      </c>
      <c r="H14" s="124">
        <v>0.8</v>
      </c>
      <c r="I14" s="116">
        <v>1</v>
      </c>
      <c r="J14" s="116"/>
      <c r="K14" s="116">
        <f>J14/I14</f>
        <v>0</v>
      </c>
      <c r="L14" s="127">
        <f>IF(K14&lt;H14,0,K14*$G14)</f>
        <v>0</v>
      </c>
    </row>
    <row r="15" spans="1:16" ht="14.25" customHeight="1">
      <c r="A15" s="109"/>
      <c r="B15" s="319"/>
      <c r="C15" s="320"/>
      <c r="D15" s="320"/>
      <c r="E15" s="320"/>
      <c r="F15" s="116"/>
      <c r="G15" s="123">
        <f>B$13*F$15</f>
        <v>0</v>
      </c>
      <c r="H15" s="124">
        <v>1</v>
      </c>
      <c r="I15" s="116">
        <v>1</v>
      </c>
      <c r="J15" s="116"/>
      <c r="K15" s="116">
        <f>J15/I15</f>
        <v>0</v>
      </c>
      <c r="L15" s="127">
        <f>IF(K15&lt;H15,0,K15*$G15)</f>
        <v>0</v>
      </c>
    </row>
    <row r="16" spans="1:16" ht="14.25" customHeight="1">
      <c r="A16" s="109"/>
      <c r="B16" s="319"/>
      <c r="C16" s="320"/>
      <c r="D16" s="320"/>
      <c r="E16" s="320"/>
      <c r="F16" s="116"/>
      <c r="G16" s="123">
        <f>B$13*F$15</f>
        <v>0</v>
      </c>
      <c r="H16" s="124">
        <v>0.75</v>
      </c>
      <c r="I16" s="116">
        <v>1</v>
      </c>
      <c r="J16" s="116"/>
      <c r="K16" s="116">
        <f>J16/I16</f>
        <v>0</v>
      </c>
      <c r="L16" s="127">
        <f>IF(K16&lt;H16,0,K16*$G16)</f>
        <v>0</v>
      </c>
    </row>
    <row r="17" spans="1:16" ht="14.25" customHeight="1">
      <c r="A17" s="109"/>
      <c r="B17" s="319"/>
      <c r="C17" s="320"/>
      <c r="D17" s="320"/>
      <c r="E17" s="320"/>
      <c r="F17" s="116"/>
      <c r="G17" s="123">
        <f>B13*F17</f>
        <v>0</v>
      </c>
      <c r="H17" s="124">
        <v>0.75</v>
      </c>
      <c r="I17" s="116">
        <v>1</v>
      </c>
      <c r="J17" s="116"/>
      <c r="K17" s="116">
        <f>J17/I17</f>
        <v>0</v>
      </c>
      <c r="L17" s="127">
        <f>IF(K17&lt;H17,0,K17*$G17)</f>
        <v>0</v>
      </c>
    </row>
    <row r="18" spans="1:16" ht="27" customHeight="1">
      <c r="A18" s="109"/>
      <c r="B18" s="128"/>
      <c r="E18" s="129" t="s">
        <v>27</v>
      </c>
      <c r="F18" s="130">
        <f>SUM(F13:F17)</f>
        <v>1</v>
      </c>
      <c r="G18" s="131">
        <f>SUM(G13:G17)</f>
        <v>11500</v>
      </c>
      <c r="K18" s="132" t="s">
        <v>28</v>
      </c>
      <c r="L18" s="133">
        <f>SUM(L14:L17)</f>
        <v>0</v>
      </c>
      <c r="N18" s="134"/>
      <c r="O18" s="135"/>
    </row>
    <row r="19" spans="1:16" ht="14.25" customHeight="1">
      <c r="A19" s="109"/>
      <c r="F19" s="136"/>
      <c r="G19" s="136"/>
      <c r="N19" s="134"/>
      <c r="O19" s="135"/>
    </row>
    <row r="20" spans="1:16" ht="18" customHeight="1">
      <c r="A20" s="109"/>
      <c r="F20" s="136"/>
      <c r="G20" s="136"/>
      <c r="K20" s="137" t="s">
        <v>29</v>
      </c>
      <c r="L20" s="138">
        <f>+L18+L13</f>
        <v>13419.29167897023</v>
      </c>
    </row>
    <row r="21" spans="1:16" ht="14.25" customHeight="1">
      <c r="A21" s="109"/>
      <c r="F21" s="139"/>
      <c r="G21" s="139"/>
    </row>
    <row r="22" spans="1:16" ht="21" customHeight="1">
      <c r="C22" s="321" t="s">
        <v>30</v>
      </c>
      <c r="D22" s="321"/>
      <c r="E22" s="321"/>
      <c r="F22" s="321"/>
      <c r="G22" s="321"/>
      <c r="H22" s="321"/>
      <c r="I22" s="321"/>
      <c r="J22" s="321"/>
      <c r="K22" s="321"/>
    </row>
    <row r="23" spans="1:16" ht="13.5" customHeight="1">
      <c r="A23" s="109"/>
      <c r="P23" s="110"/>
    </row>
    <row r="25" spans="1:16" ht="14.25" customHeight="1">
      <c r="A25" s="109"/>
      <c r="C25" s="111" t="s">
        <v>6</v>
      </c>
      <c r="D25" s="112" t="s">
        <v>7</v>
      </c>
      <c r="E25" s="113" t="s">
        <v>3</v>
      </c>
      <c r="F25" s="113" t="s">
        <v>9</v>
      </c>
    </row>
    <row r="26" spans="1:16" ht="14.25" customHeight="1">
      <c r="A26" s="109"/>
      <c r="B26" s="114" t="s">
        <v>8</v>
      </c>
      <c r="C26" s="115">
        <v>23624.400000000001</v>
      </c>
      <c r="D26" s="115">
        <v>26515.252</v>
      </c>
      <c r="E26" s="115">
        <f>D26-C26</f>
        <v>2890.851999999999</v>
      </c>
      <c r="F26" s="116">
        <f>D26/C26-1</f>
        <v>0.12236721355886271</v>
      </c>
    </row>
    <row r="27" spans="1:16" ht="14.25" customHeight="1">
      <c r="A27" s="109"/>
      <c r="B27" s="114" t="s">
        <v>49</v>
      </c>
      <c r="C27" s="117">
        <v>1753717.01</v>
      </c>
      <c r="D27" s="117">
        <v>2095225.55</v>
      </c>
      <c r="E27" s="117">
        <f>D27-C27</f>
        <v>341508.54000000004</v>
      </c>
      <c r="F27" s="116">
        <f>D27/C27-1</f>
        <v>0.19473412075760166</v>
      </c>
    </row>
    <row r="28" spans="1:16" ht="13.5" customHeight="1">
      <c r="A28" s="109"/>
    </row>
    <row r="29" spans="1:16" ht="13.5" customHeight="1">
      <c r="A29" s="109"/>
    </row>
    <row r="30" spans="1:16" ht="15" customHeight="1">
      <c r="A30" s="109"/>
      <c r="B30" s="316" t="s">
        <v>12</v>
      </c>
      <c r="C30" s="316"/>
      <c r="D30" s="316"/>
      <c r="E30" s="316"/>
      <c r="F30" s="316"/>
      <c r="G30" s="316"/>
      <c r="H30" s="316"/>
      <c r="I30" s="317" t="s">
        <v>13</v>
      </c>
      <c r="J30" s="317"/>
      <c r="K30" s="317"/>
      <c r="L30" s="317"/>
    </row>
    <row r="31" spans="1:16" ht="14.25" customHeight="1">
      <c r="A31" s="109"/>
      <c r="B31" s="119" t="s">
        <v>14</v>
      </c>
      <c r="C31" s="318" t="s">
        <v>15</v>
      </c>
      <c r="D31" s="318"/>
      <c r="E31" s="318"/>
      <c r="F31" s="119" t="s">
        <v>16</v>
      </c>
      <c r="G31" s="119" t="s">
        <v>17</v>
      </c>
      <c r="H31" s="120" t="s">
        <v>21</v>
      </c>
      <c r="I31" s="121" t="s">
        <v>18</v>
      </c>
      <c r="J31" s="122" t="s">
        <v>19</v>
      </c>
      <c r="K31" s="122" t="s">
        <v>20</v>
      </c>
      <c r="L31" s="122" t="s">
        <v>14</v>
      </c>
    </row>
    <row r="32" spans="1:16" ht="30" customHeight="1">
      <c r="A32" s="109"/>
      <c r="B32" s="322">
        <v>10500</v>
      </c>
      <c r="C32" s="320" t="s">
        <v>22</v>
      </c>
      <c r="D32" s="320"/>
      <c r="E32" s="320"/>
      <c r="F32" s="142">
        <v>1</v>
      </c>
      <c r="G32" s="123">
        <f>B32*F32</f>
        <v>10500</v>
      </c>
      <c r="H32" s="144">
        <v>0.8</v>
      </c>
      <c r="I32" s="141">
        <f>C27</f>
        <v>1753717.01</v>
      </c>
      <c r="J32" s="141">
        <f>D27</f>
        <v>2095225.55</v>
      </c>
      <c r="K32" s="145">
        <f>IFERROR(J32/I32,0)</f>
        <v>1.1947341207576017</v>
      </c>
      <c r="L32" s="127">
        <f>IF(K32&lt;H32,0,K32*$G32)</f>
        <v>12544.708267954817</v>
      </c>
    </row>
    <row r="33" spans="1:15" ht="13.5" customHeight="1">
      <c r="A33" s="109"/>
      <c r="B33" s="322"/>
      <c r="C33" s="320"/>
      <c r="D33" s="320"/>
      <c r="E33" s="320"/>
      <c r="F33" s="142"/>
      <c r="G33" s="143"/>
      <c r="H33" s="144">
        <v>0</v>
      </c>
      <c r="I33" s="116">
        <v>1</v>
      </c>
      <c r="J33" s="141"/>
      <c r="K33" s="145">
        <f>IFERROR(J33/I33,0)</f>
        <v>0</v>
      </c>
      <c r="L33" s="127">
        <f>IF(K33&lt;H33,0,K33*$G33)</f>
        <v>0</v>
      </c>
    </row>
    <row r="34" spans="1:15" ht="13.5" customHeight="1">
      <c r="A34" s="109"/>
      <c r="B34" s="322"/>
      <c r="C34" s="320"/>
      <c r="D34" s="320"/>
      <c r="E34" s="320"/>
      <c r="F34" s="142"/>
      <c r="G34" s="143"/>
      <c r="H34" s="144">
        <v>0</v>
      </c>
      <c r="I34" s="116">
        <v>1</v>
      </c>
      <c r="J34" s="116"/>
      <c r="K34" s="145">
        <f>IFERROR(J34/I34,0)</f>
        <v>0</v>
      </c>
      <c r="L34" s="127">
        <f>IF(K34&lt;H34,0,K34*$G34)</f>
        <v>0</v>
      </c>
    </row>
    <row r="35" spans="1:15" ht="13.5" customHeight="1">
      <c r="A35" s="109"/>
      <c r="B35" s="322"/>
      <c r="C35" s="320"/>
      <c r="D35" s="320"/>
      <c r="E35" s="320"/>
      <c r="F35" s="142"/>
      <c r="G35" s="143"/>
      <c r="H35" s="144">
        <v>0</v>
      </c>
      <c r="I35" s="116">
        <v>1</v>
      </c>
      <c r="J35" s="116"/>
      <c r="K35" s="145">
        <f>IFERROR(J35/I35,0)</f>
        <v>0</v>
      </c>
      <c r="L35" s="127">
        <f>IF(K35&lt;H35,0,K35*$G35)</f>
        <v>0</v>
      </c>
    </row>
    <row r="36" spans="1:15" ht="13.5" customHeight="1">
      <c r="A36" s="109"/>
      <c r="B36" s="322"/>
      <c r="C36" s="320"/>
      <c r="D36" s="320"/>
      <c r="E36" s="320"/>
      <c r="F36" s="142"/>
      <c r="G36" s="143"/>
      <c r="H36" s="144">
        <v>0</v>
      </c>
      <c r="I36" s="116">
        <v>1</v>
      </c>
      <c r="J36" s="116"/>
      <c r="K36" s="145">
        <f>IFERROR(J36/I36,0)</f>
        <v>0</v>
      </c>
      <c r="L36" s="127">
        <f>IF(K36&lt;H36,0,K36*$G36)</f>
        <v>0</v>
      </c>
    </row>
    <row r="37" spans="1:15" ht="27" customHeight="1">
      <c r="A37" s="109"/>
      <c r="B37" s="128"/>
      <c r="E37" s="130" t="s">
        <v>27</v>
      </c>
      <c r="F37" s="130">
        <f>SUM(F32:F36)</f>
        <v>1</v>
      </c>
      <c r="G37" s="146">
        <f>SUM(G31:G36)</f>
        <v>10500</v>
      </c>
      <c r="K37" s="132" t="s">
        <v>28</v>
      </c>
      <c r="L37" s="133">
        <f>SUM(L34:L34)</f>
        <v>0</v>
      </c>
      <c r="N37" s="134"/>
      <c r="O37" s="135"/>
    </row>
    <row r="38" spans="1:15" ht="14.25" customHeight="1">
      <c r="A38" s="109"/>
      <c r="F38" s="136"/>
      <c r="G38" s="136"/>
      <c r="N38" s="134"/>
      <c r="O38" s="135"/>
    </row>
    <row r="39" spans="1:15" ht="18" customHeight="1">
      <c r="A39" s="109"/>
      <c r="F39" s="136"/>
      <c r="G39" s="136"/>
      <c r="K39" s="137" t="s">
        <v>29</v>
      </c>
      <c r="L39" s="138">
        <f>+L37+L32</f>
        <v>12544.708267954817</v>
      </c>
    </row>
    <row r="40" spans="1:15" ht="14.25" customHeight="1"/>
    <row r="41" spans="1:15" ht="21" customHeight="1">
      <c r="C41" s="321" t="s">
        <v>41</v>
      </c>
      <c r="D41" s="321"/>
      <c r="E41" s="321"/>
      <c r="F41" s="321"/>
      <c r="G41" s="321"/>
      <c r="H41" s="321"/>
      <c r="I41" s="321"/>
      <c r="J41" s="321"/>
      <c r="K41" s="321"/>
    </row>
    <row r="44" spans="1:15" ht="14.25" customHeight="1">
      <c r="C44" s="111" t="s">
        <v>6</v>
      </c>
      <c r="D44" s="112" t="s">
        <v>7</v>
      </c>
      <c r="E44" s="113" t="s">
        <v>8</v>
      </c>
      <c r="F44" s="113" t="s">
        <v>9</v>
      </c>
    </row>
    <row r="45" spans="1:15" ht="14.25" customHeight="1">
      <c r="B45" s="114" t="s">
        <v>8</v>
      </c>
      <c r="C45" s="147">
        <v>22853.031999999999</v>
      </c>
      <c r="D45" s="147">
        <v>32695.298999999999</v>
      </c>
      <c r="E45" s="147">
        <f>D45-C45</f>
        <v>9842.2669999999998</v>
      </c>
      <c r="F45" s="116">
        <f>D45/C45-1</f>
        <v>0.43067663844342396</v>
      </c>
    </row>
    <row r="46" spans="1:15" ht="14.25" customHeight="1">
      <c r="B46" s="114" t="s">
        <v>49</v>
      </c>
      <c r="C46" s="148">
        <v>1374179.2871999999</v>
      </c>
      <c r="D46" s="148">
        <v>1550018.11</v>
      </c>
      <c r="E46" s="148">
        <f>D46-C46</f>
        <v>175838.8228000002</v>
      </c>
      <c r="F46" s="116">
        <f>D46/C46-1</f>
        <v>0.12795915674022851</v>
      </c>
    </row>
    <row r="49" spans="1:15" ht="15" customHeight="1">
      <c r="B49" s="316" t="s">
        <v>12</v>
      </c>
      <c r="C49" s="316"/>
      <c r="D49" s="316"/>
      <c r="E49" s="316"/>
      <c r="F49" s="316"/>
      <c r="G49" s="316"/>
      <c r="H49" s="316"/>
      <c r="I49" s="317" t="s">
        <v>13</v>
      </c>
      <c r="J49" s="317"/>
      <c r="K49" s="317"/>
      <c r="L49" s="317"/>
    </row>
    <row r="50" spans="1:15" ht="14.25" customHeight="1">
      <c r="B50" s="119" t="s">
        <v>14</v>
      </c>
      <c r="C50" s="318" t="s">
        <v>15</v>
      </c>
      <c r="D50" s="318"/>
      <c r="E50" s="318"/>
      <c r="F50" s="119" t="s">
        <v>16</v>
      </c>
      <c r="G50" s="119" t="s">
        <v>17</v>
      </c>
      <c r="H50" s="120" t="s">
        <v>21</v>
      </c>
      <c r="I50" s="121" t="s">
        <v>18</v>
      </c>
      <c r="J50" s="122" t="s">
        <v>19</v>
      </c>
      <c r="K50" s="122" t="s">
        <v>20</v>
      </c>
      <c r="L50" s="122" t="s">
        <v>14</v>
      </c>
    </row>
    <row r="51" spans="1:15" ht="14.25" customHeight="1">
      <c r="B51" s="319">
        <v>10000</v>
      </c>
      <c r="C51" s="323" t="s">
        <v>22</v>
      </c>
      <c r="D51" s="323"/>
      <c r="E51" s="323"/>
      <c r="F51" s="149">
        <v>0.7</v>
      </c>
      <c r="G51" s="123">
        <f>+F51*B51</f>
        <v>7000</v>
      </c>
      <c r="H51" s="144">
        <v>0.8</v>
      </c>
      <c r="I51" s="125">
        <f>C46</f>
        <v>1374179.2871999999</v>
      </c>
      <c r="J51" s="141">
        <f>D46</f>
        <v>1550018.11</v>
      </c>
      <c r="K51" s="126">
        <f>IFERROR(J51/I51,0)</f>
        <v>1.1279591567402285</v>
      </c>
      <c r="L51" s="127">
        <f>IF(K51&lt;H51,0,K51*$G51)</f>
        <v>7895.7140971815998</v>
      </c>
    </row>
    <row r="52" spans="1:15" ht="14.25" customHeight="1">
      <c r="B52" s="319"/>
      <c r="C52" s="323" t="s">
        <v>159</v>
      </c>
      <c r="D52" s="323"/>
      <c r="E52" s="323"/>
      <c r="F52" s="149">
        <v>0.15</v>
      </c>
      <c r="G52" s="123">
        <f>B51*F52</f>
        <v>1500</v>
      </c>
      <c r="H52" s="124">
        <v>0.8</v>
      </c>
      <c r="I52" s="145">
        <v>1</v>
      </c>
      <c r="J52" s="150">
        <v>0</v>
      </c>
      <c r="K52" s="145">
        <v>0.5</v>
      </c>
      <c r="L52" s="127">
        <f>IF(K52&lt;H52,0,K52*$G52)</f>
        <v>0</v>
      </c>
      <c r="O52" s="132"/>
    </row>
    <row r="53" spans="1:15" ht="14.25" customHeight="1">
      <c r="B53" s="319"/>
      <c r="C53" s="323" t="s">
        <v>160</v>
      </c>
      <c r="D53" s="323"/>
      <c r="E53" s="323"/>
      <c r="F53" s="149">
        <v>0.15</v>
      </c>
      <c r="G53" s="123">
        <f>+F53*B51</f>
        <v>1500</v>
      </c>
      <c r="H53" s="144">
        <v>0.8</v>
      </c>
      <c r="I53" s="145">
        <v>1</v>
      </c>
      <c r="J53" s="145"/>
      <c r="K53" s="126">
        <v>0.5</v>
      </c>
      <c r="L53" s="127">
        <f>IF(K53&lt;H53,0,K53*$G53)</f>
        <v>0</v>
      </c>
    </row>
    <row r="54" spans="1:15" ht="13.5" customHeight="1">
      <c r="B54" s="319"/>
      <c r="C54" s="323"/>
      <c r="D54" s="323"/>
      <c r="E54" s="323"/>
      <c r="F54" s="149"/>
      <c r="G54" s="123">
        <f>+F54*B51</f>
        <v>0</v>
      </c>
      <c r="H54" s="144">
        <v>1</v>
      </c>
      <c r="I54" s="145">
        <v>1</v>
      </c>
      <c r="J54" s="145"/>
      <c r="K54" s="126">
        <f>IFERROR(J54/I54,0)</f>
        <v>0</v>
      </c>
      <c r="L54" s="127">
        <f>IF(K54&lt;H54,0,K54*$G54)</f>
        <v>0</v>
      </c>
    </row>
    <row r="55" spans="1:15" ht="13.5" customHeight="1">
      <c r="B55" s="319"/>
      <c r="C55" s="323"/>
      <c r="D55" s="323"/>
      <c r="E55" s="323"/>
      <c r="F55" s="151"/>
      <c r="G55" s="123">
        <f>+F55*B51</f>
        <v>0</v>
      </c>
      <c r="H55" s="144">
        <v>1</v>
      </c>
      <c r="I55" s="145">
        <v>1</v>
      </c>
      <c r="J55" s="145"/>
      <c r="K55" s="126">
        <f>IFERROR(J55/I55,0)</f>
        <v>0</v>
      </c>
      <c r="L55" s="127">
        <f>IF(K55&lt;H55,0,K55*$G55)</f>
        <v>0</v>
      </c>
    </row>
    <row r="56" spans="1:15" ht="27" customHeight="1">
      <c r="B56" s="128"/>
      <c r="E56" s="129" t="s">
        <v>27</v>
      </c>
      <c r="F56" s="130">
        <f>SUM(F51:F55)</f>
        <v>1</v>
      </c>
      <c r="G56" s="131">
        <f>SUM(G51:G55)</f>
        <v>10000</v>
      </c>
      <c r="H56" s="139"/>
      <c r="K56" s="132" t="s">
        <v>28</v>
      </c>
      <c r="L56" s="133">
        <f>SUM(L52:L55)</f>
        <v>0</v>
      </c>
      <c r="N56" s="152"/>
    </row>
    <row r="57" spans="1:15" ht="14.25" customHeight="1">
      <c r="F57" s="136"/>
      <c r="G57" s="136"/>
    </row>
    <row r="58" spans="1:15" ht="18" customHeight="1">
      <c r="F58" s="136"/>
      <c r="G58" s="136"/>
      <c r="K58" s="137" t="s">
        <v>29</v>
      </c>
      <c r="L58" s="138">
        <f>+L56+L51</f>
        <v>7895.7140971815998</v>
      </c>
    </row>
    <row r="59" spans="1:15" ht="14.25" customHeight="1"/>
    <row r="60" spans="1:15" ht="21" customHeight="1">
      <c r="C60" s="321" t="s">
        <v>47</v>
      </c>
      <c r="D60" s="321"/>
      <c r="E60" s="321"/>
      <c r="F60" s="321"/>
      <c r="G60" s="321"/>
      <c r="H60" s="321"/>
      <c r="I60" s="321"/>
      <c r="J60" s="321"/>
      <c r="K60" s="321"/>
    </row>
    <row r="63" spans="1:15" ht="14.25" customHeight="1">
      <c r="A63" s="109"/>
      <c r="C63" s="111" t="s">
        <v>6</v>
      </c>
      <c r="D63" s="112" t="s">
        <v>7</v>
      </c>
      <c r="E63" s="113" t="s">
        <v>8</v>
      </c>
      <c r="F63" s="113" t="s">
        <v>9</v>
      </c>
    </row>
    <row r="64" spans="1:15" ht="14.25" customHeight="1">
      <c r="B64" s="114" t="s">
        <v>8</v>
      </c>
      <c r="C64" s="115">
        <v>29841.200000000001</v>
      </c>
      <c r="D64" s="115">
        <v>29792</v>
      </c>
      <c r="E64" s="115">
        <f>D64-C64</f>
        <v>-49.200000000000728</v>
      </c>
      <c r="F64" s="116">
        <f>D64/C64-1</f>
        <v>-1.6487272629787109E-3</v>
      </c>
    </row>
    <row r="65" spans="1:14" ht="14.25" customHeight="1">
      <c r="B65" s="114" t="s">
        <v>49</v>
      </c>
      <c r="C65" s="117">
        <v>1245927.399</v>
      </c>
      <c r="D65" s="117">
        <v>1450583.98</v>
      </c>
      <c r="E65" s="117">
        <f>D65-C65</f>
        <v>204656.58100000001</v>
      </c>
      <c r="F65" s="116">
        <f>D65/C65-1</f>
        <v>0.16426043858114081</v>
      </c>
    </row>
    <row r="68" spans="1:14" ht="15" customHeight="1">
      <c r="B68" s="316" t="s">
        <v>12</v>
      </c>
      <c r="C68" s="316"/>
      <c r="D68" s="316"/>
      <c r="E68" s="316"/>
      <c r="F68" s="316"/>
      <c r="G68" s="316"/>
      <c r="H68" s="316"/>
      <c r="I68" s="317" t="s">
        <v>13</v>
      </c>
      <c r="J68" s="317"/>
      <c r="K68" s="317"/>
      <c r="L68" s="317"/>
    </row>
    <row r="69" spans="1:14" ht="14.25" customHeight="1">
      <c r="B69" s="119" t="s">
        <v>14</v>
      </c>
      <c r="C69" s="318" t="s">
        <v>15</v>
      </c>
      <c r="D69" s="318"/>
      <c r="E69" s="318"/>
      <c r="F69" s="119" t="s">
        <v>16</v>
      </c>
      <c r="G69" s="119" t="s">
        <v>17</v>
      </c>
      <c r="H69" s="120" t="s">
        <v>21</v>
      </c>
      <c r="I69" s="121" t="s">
        <v>18</v>
      </c>
      <c r="J69" s="122" t="s">
        <v>19</v>
      </c>
      <c r="K69" s="122" t="s">
        <v>20</v>
      </c>
      <c r="L69" s="122" t="s">
        <v>14</v>
      </c>
    </row>
    <row r="70" spans="1:14" ht="14.25" customHeight="1">
      <c r="B70" s="319">
        <v>4000</v>
      </c>
      <c r="C70" s="324" t="s">
        <v>22</v>
      </c>
      <c r="D70" s="324"/>
      <c r="E70" s="324"/>
      <c r="F70" s="149">
        <v>1</v>
      </c>
      <c r="G70" s="123">
        <f>+F70*B70</f>
        <v>4000</v>
      </c>
      <c r="H70" s="145">
        <v>0.8</v>
      </c>
      <c r="I70" s="125">
        <f>C65</f>
        <v>1245927.399</v>
      </c>
      <c r="J70" s="141">
        <f>D65</f>
        <v>1450583.98</v>
      </c>
      <c r="K70" s="126">
        <f>IFERROR(J70/I70,0)</f>
        <v>1.1642604385811408</v>
      </c>
      <c r="L70" s="127">
        <f>IF(K70&lt;H70,0,K70*$G70)</f>
        <v>4657.041754324563</v>
      </c>
    </row>
    <row r="71" spans="1:14" ht="13.5" customHeight="1">
      <c r="B71" s="319"/>
      <c r="C71" s="320"/>
      <c r="D71" s="320"/>
      <c r="E71" s="320"/>
      <c r="F71" s="151"/>
      <c r="G71" s="123">
        <f>+F71*B70</f>
        <v>0</v>
      </c>
      <c r="H71" s="145"/>
      <c r="I71" s="145">
        <v>1</v>
      </c>
      <c r="J71" s="145"/>
      <c r="K71" s="126">
        <f>IFERROR(J71/I71,0)</f>
        <v>0</v>
      </c>
      <c r="L71" s="127">
        <f>IF(K71&lt;H71,0,K71*$G71)</f>
        <v>0</v>
      </c>
    </row>
    <row r="72" spans="1:14" ht="27" customHeight="1">
      <c r="B72" s="128"/>
      <c r="E72" s="129" t="s">
        <v>27</v>
      </c>
      <c r="F72" s="130">
        <f>SUM(F70:F71)</f>
        <v>1</v>
      </c>
      <c r="G72" s="131">
        <f>SUM(G70:G71)</f>
        <v>4000</v>
      </c>
      <c r="H72" s="139"/>
      <c r="K72" s="132" t="s">
        <v>28</v>
      </c>
      <c r="L72" s="133">
        <f>SUM(L71:L71)</f>
        <v>0</v>
      </c>
      <c r="N72" s="152"/>
    </row>
    <row r="73" spans="1:14" ht="14.25" customHeight="1">
      <c r="F73" s="136"/>
      <c r="G73" s="136"/>
    </row>
    <row r="74" spans="1:14" ht="18" customHeight="1">
      <c r="F74" s="136"/>
      <c r="G74" s="136"/>
      <c r="K74" s="137" t="s">
        <v>29</v>
      </c>
      <c r="L74" s="138">
        <f>+L72+L70</f>
        <v>4657.041754324563</v>
      </c>
    </row>
    <row r="75" spans="1:14" ht="14.25" customHeight="1"/>
    <row r="76" spans="1:14" ht="21" customHeight="1">
      <c r="C76" s="321" t="s">
        <v>157</v>
      </c>
      <c r="D76" s="321"/>
      <c r="E76" s="321"/>
      <c r="F76" s="321"/>
      <c r="G76" s="321"/>
      <c r="H76" s="321"/>
      <c r="I76" s="321"/>
      <c r="J76" s="321"/>
      <c r="K76" s="321"/>
    </row>
    <row r="78" spans="1:14" ht="14.25" customHeight="1">
      <c r="A78" s="109"/>
      <c r="C78" s="111" t="s">
        <v>6</v>
      </c>
      <c r="D78" s="112" t="s">
        <v>7</v>
      </c>
      <c r="E78" s="113" t="s">
        <v>8</v>
      </c>
      <c r="F78" s="113" t="s">
        <v>9</v>
      </c>
    </row>
    <row r="79" spans="1:14" ht="14.25" customHeight="1">
      <c r="B79" s="114" t="s">
        <v>8</v>
      </c>
      <c r="C79" s="115">
        <v>72301.279999999999</v>
      </c>
      <c r="D79" s="115">
        <v>72233.240000000005</v>
      </c>
      <c r="E79" s="115">
        <f>D79-C79</f>
        <v>-68.039999999993597</v>
      </c>
      <c r="F79" s="116">
        <f>D79/C79-1</f>
        <v>-9.4106217759892807E-4</v>
      </c>
    </row>
    <row r="80" spans="1:14" ht="14.25" customHeight="1">
      <c r="B80" s="114" t="s">
        <v>49</v>
      </c>
      <c r="C80" s="117">
        <v>1660857.561</v>
      </c>
      <c r="D80" s="117">
        <v>1836426.52</v>
      </c>
      <c r="E80" s="117">
        <f>D80-C80</f>
        <v>175568.95900000003</v>
      </c>
      <c r="F80" s="116">
        <f>D80/C80-1</f>
        <v>0.1057098231195035</v>
      </c>
    </row>
    <row r="83" spans="2:14" ht="15" customHeight="1">
      <c r="B83" s="316" t="s">
        <v>12</v>
      </c>
      <c r="C83" s="316"/>
      <c r="D83" s="316"/>
      <c r="E83" s="316"/>
      <c r="F83" s="316"/>
      <c r="G83" s="316"/>
      <c r="H83" s="316"/>
      <c r="I83" s="317" t="s">
        <v>13</v>
      </c>
      <c r="J83" s="317"/>
      <c r="K83" s="317"/>
      <c r="L83" s="317"/>
    </row>
    <row r="84" spans="2:14" ht="14.25" customHeight="1">
      <c r="B84" s="119" t="s">
        <v>14</v>
      </c>
      <c r="C84" s="318" t="s">
        <v>15</v>
      </c>
      <c r="D84" s="318"/>
      <c r="E84" s="318"/>
      <c r="F84" s="119" t="s">
        <v>16</v>
      </c>
      <c r="G84" s="119" t="s">
        <v>17</v>
      </c>
      <c r="H84" s="120" t="s">
        <v>21</v>
      </c>
      <c r="I84" s="121" t="s">
        <v>18</v>
      </c>
      <c r="J84" s="122" t="s">
        <v>19</v>
      </c>
      <c r="K84" s="122" t="s">
        <v>20</v>
      </c>
      <c r="L84" s="122" t="s">
        <v>14</v>
      </c>
    </row>
    <row r="85" spans="2:14" ht="14.25" customHeight="1">
      <c r="B85" s="319"/>
      <c r="C85" s="325" t="s">
        <v>22</v>
      </c>
      <c r="D85" s="325"/>
      <c r="E85" s="325"/>
      <c r="F85" s="149">
        <v>1</v>
      </c>
      <c r="G85" s="123">
        <f>+F85*B85</f>
        <v>0</v>
      </c>
      <c r="H85" s="145">
        <v>0.8</v>
      </c>
      <c r="I85" s="125">
        <f>C80</f>
        <v>1660857.561</v>
      </c>
      <c r="J85" s="141">
        <f>D80</f>
        <v>1836426.52</v>
      </c>
      <c r="K85" s="126">
        <f>IFERROR(J85/I85,0)</f>
        <v>1.1057098231195035</v>
      </c>
      <c r="L85" s="127">
        <f>IF(K85&lt;H85,0,K85*$G85)</f>
        <v>0</v>
      </c>
    </row>
    <row r="86" spans="2:14" ht="14.25" customHeight="1">
      <c r="B86" s="319"/>
      <c r="C86" s="326"/>
      <c r="D86" s="326"/>
      <c r="E86" s="326"/>
      <c r="F86" s="149"/>
      <c r="G86" s="123">
        <f>B85*F86</f>
        <v>0</v>
      </c>
      <c r="H86" s="153">
        <v>0.8</v>
      </c>
      <c r="I86" s="145">
        <v>1</v>
      </c>
      <c r="J86" s="150"/>
      <c r="K86" s="145">
        <f>J86/I86</f>
        <v>0</v>
      </c>
      <c r="L86" s="127">
        <f>IF(K86&lt;H86,0,K86*$G86)</f>
        <v>0</v>
      </c>
    </row>
    <row r="87" spans="2:14" ht="13.5" customHeight="1">
      <c r="B87" s="319"/>
      <c r="C87" s="326"/>
      <c r="D87" s="326"/>
      <c r="E87" s="326"/>
      <c r="F87" s="149"/>
      <c r="G87" s="123">
        <f>+F87*B85</f>
        <v>0</v>
      </c>
      <c r="H87" s="145">
        <v>1</v>
      </c>
      <c r="I87" s="145">
        <v>1</v>
      </c>
      <c r="J87" s="145"/>
      <c r="K87" s="126">
        <f>IFERROR(J87/I87,0)</f>
        <v>0</v>
      </c>
      <c r="L87" s="127">
        <f>IF(K87&lt;H87,0,K87*$G87)</f>
        <v>0</v>
      </c>
    </row>
    <row r="88" spans="2:14" ht="13.5" customHeight="1">
      <c r="B88" s="319"/>
      <c r="C88" s="326"/>
      <c r="D88" s="326"/>
      <c r="E88" s="326"/>
      <c r="F88" s="149"/>
      <c r="G88" s="123">
        <f>+F88*B85</f>
        <v>0</v>
      </c>
      <c r="H88" s="145">
        <v>1</v>
      </c>
      <c r="I88" s="145">
        <v>1</v>
      </c>
      <c r="J88" s="145"/>
      <c r="K88" s="126">
        <f>IFERROR(J88/I88,0)</f>
        <v>0</v>
      </c>
      <c r="L88" s="127">
        <f>IF(K88&lt;H88,0,K88*$G88)</f>
        <v>0</v>
      </c>
    </row>
    <row r="89" spans="2:14" ht="13.5" customHeight="1">
      <c r="B89" s="319"/>
      <c r="C89" s="326"/>
      <c r="D89" s="326"/>
      <c r="E89" s="326"/>
      <c r="F89" s="151"/>
      <c r="G89" s="123">
        <f>+F89*B85</f>
        <v>0</v>
      </c>
      <c r="H89" s="145">
        <v>1</v>
      </c>
      <c r="I89" s="145">
        <v>1</v>
      </c>
      <c r="J89" s="145"/>
      <c r="K89" s="126">
        <f>IFERROR(J89/I89,0)</f>
        <v>0</v>
      </c>
      <c r="L89" s="127">
        <f>IF(K89&lt;H89,0,K89*$G89)</f>
        <v>0</v>
      </c>
    </row>
    <row r="90" spans="2:14" ht="27" customHeight="1">
      <c r="B90" s="128"/>
      <c r="E90" s="129" t="s">
        <v>27</v>
      </c>
      <c r="F90" s="130">
        <f>SUM(F85:F89)</f>
        <v>1</v>
      </c>
      <c r="G90" s="131">
        <f>SUM(G85:G89)</f>
        <v>0</v>
      </c>
      <c r="H90" s="139"/>
      <c r="K90" s="132" t="s">
        <v>28</v>
      </c>
      <c r="L90" s="133">
        <f>SUM(L86:L89)</f>
        <v>0</v>
      </c>
      <c r="N90" s="152"/>
    </row>
    <row r="91" spans="2:14" ht="14.25" customHeight="1">
      <c r="F91" s="136"/>
      <c r="G91" s="136"/>
    </row>
    <row r="92" spans="2:14" ht="18" customHeight="1">
      <c r="F92" s="136"/>
      <c r="G92" s="136"/>
      <c r="K92" s="137" t="s">
        <v>29</v>
      </c>
      <c r="L92" s="138">
        <f>+L90+L85</f>
        <v>0</v>
      </c>
    </row>
    <row r="93" spans="2:14" ht="14.25" customHeight="1">
      <c r="F93" s="139"/>
      <c r="G93" s="139"/>
    </row>
    <row r="94" spans="2:14" ht="21" customHeight="1">
      <c r="C94" s="321" t="s">
        <v>37</v>
      </c>
      <c r="D94" s="321"/>
      <c r="E94" s="321"/>
      <c r="F94" s="321"/>
      <c r="G94" s="321"/>
      <c r="H94" s="321"/>
      <c r="I94" s="321"/>
      <c r="J94" s="321"/>
      <c r="K94" s="321"/>
    </row>
    <row r="96" spans="2:14" ht="13.5" customHeight="1">
      <c r="C96" s="327" t="s">
        <v>2</v>
      </c>
      <c r="D96" s="327"/>
      <c r="E96" s="154" t="s">
        <v>3</v>
      </c>
      <c r="F96" s="154"/>
    </row>
    <row r="97" spans="2:12" ht="14.25" customHeight="1">
      <c r="B97" s="114" t="s">
        <v>8</v>
      </c>
      <c r="C97" s="111" t="s">
        <v>6</v>
      </c>
      <c r="D97" s="112" t="s">
        <v>7</v>
      </c>
      <c r="E97" s="113" t="s">
        <v>8</v>
      </c>
      <c r="F97" s="113" t="s">
        <v>9</v>
      </c>
    </row>
    <row r="98" spans="2:12" ht="14.25" customHeight="1">
      <c r="B98" s="114" t="s">
        <v>49</v>
      </c>
      <c r="C98" s="147">
        <v>21857.81</v>
      </c>
      <c r="D98" s="147">
        <v>28212.25</v>
      </c>
      <c r="E98" s="147">
        <f>D98-C98</f>
        <v>6354.4399999999987</v>
      </c>
      <c r="F98" s="116">
        <f>D98/C98-1</f>
        <v>0.29071713954874712</v>
      </c>
    </row>
    <row r="99" spans="2:12" ht="14.25" customHeight="1">
      <c r="C99" s="148">
        <v>1321719.86716667</v>
      </c>
      <c r="D99" s="148">
        <v>1792760.89</v>
      </c>
      <c r="E99" s="148">
        <f>D99-C99</f>
        <v>471041.02283332986</v>
      </c>
      <c r="F99" s="116">
        <f>D99/C99-1</f>
        <v>0.3563849152415981</v>
      </c>
    </row>
    <row r="102" spans="2:12" ht="15" customHeight="1">
      <c r="B102" s="316" t="s">
        <v>12</v>
      </c>
      <c r="C102" s="316"/>
      <c r="D102" s="316"/>
      <c r="E102" s="316"/>
      <c r="F102" s="316"/>
      <c r="G102" s="316"/>
      <c r="H102" s="316"/>
      <c r="I102" s="317" t="s">
        <v>13</v>
      </c>
      <c r="J102" s="317"/>
      <c r="K102" s="317"/>
      <c r="L102" s="317"/>
    </row>
    <row r="103" spans="2:12" ht="14.25" customHeight="1">
      <c r="B103" s="119" t="s">
        <v>14</v>
      </c>
      <c r="C103" s="318" t="s">
        <v>15</v>
      </c>
      <c r="D103" s="318"/>
      <c r="E103" s="318"/>
      <c r="F103" s="119" t="s">
        <v>16</v>
      </c>
      <c r="G103" s="119" t="s">
        <v>17</v>
      </c>
      <c r="H103" s="120" t="s">
        <v>21</v>
      </c>
      <c r="I103" s="121" t="s">
        <v>18</v>
      </c>
      <c r="J103" s="122" t="s">
        <v>19</v>
      </c>
      <c r="K103" s="122" t="s">
        <v>20</v>
      </c>
      <c r="L103" s="122" t="s">
        <v>14</v>
      </c>
    </row>
    <row r="104" spans="2:12" ht="14.25" customHeight="1">
      <c r="B104" s="328">
        <v>7000</v>
      </c>
      <c r="C104" s="323" t="s">
        <v>22</v>
      </c>
      <c r="D104" s="323"/>
      <c r="E104" s="323"/>
      <c r="F104" s="151">
        <v>0.5</v>
      </c>
      <c r="G104" s="127">
        <f>B104*F104</f>
        <v>3500</v>
      </c>
      <c r="H104" s="145">
        <v>0.95</v>
      </c>
      <c r="I104" s="141">
        <f>C99</f>
        <v>1321719.86716667</v>
      </c>
      <c r="J104" s="141">
        <f>D99</f>
        <v>1792760.89</v>
      </c>
      <c r="K104" s="145">
        <f>IFERROR(J104/I104,0)</f>
        <v>1.3563849152415981</v>
      </c>
      <c r="L104" s="127">
        <f>IF(K104&lt;H104,0,K104*$G104)</f>
        <v>4747.3472033455937</v>
      </c>
    </row>
    <row r="105" spans="2:12" ht="21" customHeight="1">
      <c r="B105" s="328"/>
      <c r="C105" s="323" t="s">
        <v>38</v>
      </c>
      <c r="D105" s="323"/>
      <c r="E105" s="323"/>
      <c r="F105" s="151">
        <v>0.2</v>
      </c>
      <c r="G105" s="127">
        <f>B104*F105</f>
        <v>1400</v>
      </c>
      <c r="H105" s="145">
        <v>0.75</v>
      </c>
      <c r="I105" s="145">
        <v>1</v>
      </c>
      <c r="J105" s="145"/>
      <c r="K105" s="126">
        <f>IFERROR(J105/I105,0)</f>
        <v>0</v>
      </c>
      <c r="L105" s="127">
        <f>IF(K105&lt;H105,0,K105*$G105)</f>
        <v>0</v>
      </c>
    </row>
    <row r="106" spans="2:12" ht="14.25" customHeight="1">
      <c r="B106" s="328"/>
      <c r="C106" s="323" t="s">
        <v>39</v>
      </c>
      <c r="D106" s="323"/>
      <c r="E106" s="323"/>
      <c r="F106" s="151">
        <v>0.2</v>
      </c>
      <c r="G106" s="127">
        <f>B104*F106</f>
        <v>1400</v>
      </c>
      <c r="H106" s="145">
        <v>0.75</v>
      </c>
      <c r="I106" s="145">
        <v>1</v>
      </c>
      <c r="J106" s="145"/>
      <c r="K106" s="126">
        <f>IFERROR(J106/I106,0)</f>
        <v>0</v>
      </c>
      <c r="L106" s="127">
        <f>IF(K106&lt;H106,0,K106*$G106)</f>
        <v>0</v>
      </c>
    </row>
    <row r="107" spans="2:12" ht="14.25" customHeight="1">
      <c r="B107" s="328"/>
      <c r="C107" s="323" t="s">
        <v>40</v>
      </c>
      <c r="D107" s="323"/>
      <c r="E107" s="323"/>
      <c r="F107" s="149">
        <v>0.1</v>
      </c>
      <c r="G107" s="123">
        <f>+F107*B104</f>
        <v>700</v>
      </c>
      <c r="H107" s="145">
        <v>0.75</v>
      </c>
      <c r="I107" s="145">
        <v>1</v>
      </c>
      <c r="J107" s="145"/>
      <c r="K107" s="126">
        <f>IFERROR(J107/I107,0)</f>
        <v>0</v>
      </c>
      <c r="L107" s="127">
        <f>IF(K107&lt;H107,0,K107*$G107)</f>
        <v>0</v>
      </c>
    </row>
    <row r="108" spans="2:12" ht="27" customHeight="1">
      <c r="E108" s="129" t="s">
        <v>27</v>
      </c>
      <c r="F108" s="157">
        <f>SUM(F104:F107)</f>
        <v>0.99999999999999989</v>
      </c>
      <c r="G108" s="131">
        <f>SUM(G104:G107)</f>
        <v>7000</v>
      </c>
      <c r="H108" s="139"/>
      <c r="J108" s="118"/>
      <c r="K108" s="132" t="s">
        <v>28</v>
      </c>
      <c r="L108" s="133">
        <f>SUM(L105:L107)</f>
        <v>0</v>
      </c>
    </row>
    <row r="109" spans="2:12" ht="14.25" customHeight="1">
      <c r="F109" s="136"/>
      <c r="G109" s="136"/>
    </row>
    <row r="110" spans="2:12" ht="18" customHeight="1">
      <c r="F110" s="136"/>
      <c r="G110" s="136"/>
      <c r="K110" s="137" t="s">
        <v>29</v>
      </c>
      <c r="L110" s="138">
        <f>+L108+L104</f>
        <v>4747.3472033455937</v>
      </c>
    </row>
    <row r="185" spans="15:18" ht="13.5" customHeight="1">
      <c r="O185" s="108">
        <v>3</v>
      </c>
      <c r="P185" s="108">
        <v>3.1</v>
      </c>
      <c r="Q185" s="108">
        <f>+P185-O185</f>
        <v>0.10000000000000009</v>
      </c>
      <c r="R185" s="108">
        <f>+Q185/P185</f>
        <v>3.2258064516129059E-2</v>
      </c>
    </row>
    <row r="189" spans="15:18" ht="13.5" customHeight="1">
      <c r="Q189" s="136">
        <f>2000*3*12</f>
        <v>72000</v>
      </c>
    </row>
    <row r="192" spans="15:18" ht="13.5" customHeight="1">
      <c r="Q192" s="108">
        <f>2000*12</f>
        <v>24000</v>
      </c>
    </row>
  </sheetData>
  <mergeCells count="58">
    <mergeCell ref="B104:B107"/>
    <mergeCell ref="C104:E104"/>
    <mergeCell ref="C105:E105"/>
    <mergeCell ref="C106:E106"/>
    <mergeCell ref="C107:E107"/>
    <mergeCell ref="C94:K94"/>
    <mergeCell ref="C96:D96"/>
    <mergeCell ref="B102:H102"/>
    <mergeCell ref="I102:L102"/>
    <mergeCell ref="C103:E103"/>
    <mergeCell ref="C76:K76"/>
    <mergeCell ref="B83:H83"/>
    <mergeCell ref="I83:L83"/>
    <mergeCell ref="C84:E84"/>
    <mergeCell ref="B85:B89"/>
    <mergeCell ref="C85:E85"/>
    <mergeCell ref="C86:E86"/>
    <mergeCell ref="C87:E87"/>
    <mergeCell ref="C88:E88"/>
    <mergeCell ref="C89:E89"/>
    <mergeCell ref="C60:K60"/>
    <mergeCell ref="B68:H68"/>
    <mergeCell ref="I68:L68"/>
    <mergeCell ref="C69:E69"/>
    <mergeCell ref="B70:B71"/>
    <mergeCell ref="C70:E70"/>
    <mergeCell ref="C71:E71"/>
    <mergeCell ref="C41:K41"/>
    <mergeCell ref="B49:H49"/>
    <mergeCell ref="I49:L49"/>
    <mergeCell ref="C50:E50"/>
    <mergeCell ref="B51:B55"/>
    <mergeCell ref="C51:E51"/>
    <mergeCell ref="C52:E52"/>
    <mergeCell ref="C53:E53"/>
    <mergeCell ref="C54:E54"/>
    <mergeCell ref="C55:E55"/>
    <mergeCell ref="C22:K22"/>
    <mergeCell ref="B30:H30"/>
    <mergeCell ref="I30:L30"/>
    <mergeCell ref="C31:E31"/>
    <mergeCell ref="B32:B36"/>
    <mergeCell ref="C32:E32"/>
    <mergeCell ref="C33:E33"/>
    <mergeCell ref="C34:E34"/>
    <mergeCell ref="C35:E35"/>
    <mergeCell ref="C36:E36"/>
    <mergeCell ref="B13:B17"/>
    <mergeCell ref="C13:E13"/>
    <mergeCell ref="C14:E14"/>
    <mergeCell ref="C15:E15"/>
    <mergeCell ref="C16:E16"/>
    <mergeCell ref="C17:E17"/>
    <mergeCell ref="C1:J1"/>
    <mergeCell ref="C3:K3"/>
    <mergeCell ref="B11:H11"/>
    <mergeCell ref="I11:L11"/>
    <mergeCell ref="C12:E12"/>
  </mergeCells>
  <conditionalFormatting sqref="F80">
    <cfRule type="iconSet" priority="2">
      <iconSet iconSet="3Arrows">
        <cfvo type="percent" val="0"/>
        <cfvo type="num" val="0"/>
        <cfvo type="num" val="0"/>
      </iconSet>
    </cfRule>
  </conditionalFormatting>
  <conditionalFormatting sqref="F79">
    <cfRule type="iconSet" priority="3">
      <iconSet iconSet="3Arrows">
        <cfvo type="percent" val="0"/>
        <cfvo type="num" val="0"/>
        <cfvo type="num" val="0"/>
      </iconSet>
    </cfRule>
  </conditionalFormatting>
  <conditionalFormatting sqref="F65">
    <cfRule type="iconSet" priority="4">
      <iconSet iconSet="3Arrows">
        <cfvo type="percent" val="0"/>
        <cfvo type="num" val="0"/>
        <cfvo type="num" val="0"/>
      </iconSet>
    </cfRule>
  </conditionalFormatting>
  <conditionalFormatting sqref="F64">
    <cfRule type="iconSet" priority="5">
      <iconSet iconSet="3Arrows">
        <cfvo type="percent" val="0"/>
        <cfvo type="num" val="0"/>
        <cfvo type="num" val="0"/>
      </iconSet>
    </cfRule>
  </conditionalFormatting>
  <conditionalFormatting sqref="F46">
    <cfRule type="iconSet" priority="6">
      <iconSet iconSet="3Arrows">
        <cfvo type="percent" val="0"/>
        <cfvo type="num" val="0"/>
        <cfvo type="num" val="0"/>
      </iconSet>
    </cfRule>
  </conditionalFormatting>
  <conditionalFormatting sqref="F45">
    <cfRule type="iconSet" priority="7">
      <iconSet iconSet="3Arrows">
        <cfvo type="percent" val="0"/>
        <cfvo type="num" val="0"/>
        <cfvo type="num" val="0"/>
      </iconSet>
    </cfRule>
  </conditionalFormatting>
  <conditionalFormatting sqref="F99">
    <cfRule type="iconSet" priority="8">
      <iconSet iconSet="3Arrows">
        <cfvo type="percent" val="0"/>
        <cfvo type="num" val="0"/>
        <cfvo type="num" val="0"/>
      </iconSet>
    </cfRule>
  </conditionalFormatting>
  <conditionalFormatting sqref="F98">
    <cfRule type="iconSet" priority="9">
      <iconSet iconSet="3Arrows">
        <cfvo type="percent" val="0"/>
        <cfvo type="num" val="0"/>
        <cfvo type="num" val="0"/>
      </iconSet>
    </cfRule>
  </conditionalFormatting>
  <conditionalFormatting sqref="F27">
    <cfRule type="iconSet" priority="10">
      <iconSet iconSet="3Arrows">
        <cfvo type="percent" val="0"/>
        <cfvo type="num" val="0"/>
        <cfvo type="num" val="0"/>
      </iconSet>
    </cfRule>
  </conditionalFormatting>
  <conditionalFormatting sqref="F26">
    <cfRule type="iconSet" priority="11">
      <iconSet iconSet="3Arrows">
        <cfvo type="percent" val="0"/>
        <cfvo type="num" val="0"/>
        <cfvo type="num" val="0"/>
      </iconSet>
    </cfRule>
  </conditionalFormatting>
  <conditionalFormatting sqref="F8:G8">
    <cfRule type="iconSet" priority="12">
      <iconSet iconSet="3Arrows">
        <cfvo type="percent" val="0"/>
        <cfvo type="num" val="0"/>
        <cfvo type="num" val="0"/>
      </iconSet>
    </cfRule>
  </conditionalFormatting>
  <conditionalFormatting sqref="F7">
    <cfRule type="iconSet" priority="13">
      <iconSet iconSet="3Arrows">
        <cfvo type="percent" val="0"/>
        <cfvo type="num" val="0"/>
        <cfvo type="num" val="0"/>
      </iconSet>
    </cfRule>
  </conditionalFormatting>
  <pageMargins left="0.23611111111111099" right="0.23611111111111099" top="0.74791666666666701" bottom="0.74791666666666701" header="0.511811023622047" footer="0.511811023622047"/>
  <pageSetup scale="70" orientation="landscape" horizontalDpi="300" verticalDpi="300"/>
  <rowBreaks count="2" manualBreakCount="2">
    <brk id="40" max="16383" man="1"/>
    <brk id="7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R203"/>
  <sheetViews>
    <sheetView showGridLines="0" zoomScaleNormal="100" workbookViewId="0">
      <selection activeCell="H16" sqref="H16"/>
    </sheetView>
  </sheetViews>
  <sheetFormatPr baseColWidth="10" defaultColWidth="11.453125" defaultRowHeight="18"/>
  <cols>
    <col min="1" max="1" width="2.81640625" style="108" customWidth="1"/>
    <col min="2" max="2" width="13.1796875" style="108" customWidth="1"/>
    <col min="3" max="3" width="17.81640625" style="108" customWidth="1"/>
    <col min="4" max="4" width="16.1796875" style="108" customWidth="1"/>
    <col min="5" max="5" width="22.81640625" style="108" customWidth="1"/>
    <col min="6" max="6" width="16.453125" style="108" customWidth="1"/>
    <col min="7" max="7" width="16.1796875" style="108" customWidth="1"/>
    <col min="8" max="8" width="22.1796875" style="108" customWidth="1"/>
    <col min="9" max="10" width="13.81640625" style="108" customWidth="1"/>
    <col min="11" max="11" width="20.1796875" style="108" customWidth="1"/>
    <col min="12" max="12" width="22" style="108" customWidth="1"/>
    <col min="13" max="13" width="7.81640625" style="108" customWidth="1"/>
    <col min="14" max="14" width="16.1796875" style="108" customWidth="1"/>
    <col min="15" max="15" width="2.54296875" style="108" customWidth="1"/>
    <col min="16" max="16" width="4.1796875" style="108" customWidth="1"/>
    <col min="17" max="17" width="13.81640625" style="108" customWidth="1"/>
    <col min="18" max="18" width="12.1796875" style="108" customWidth="1"/>
    <col min="19" max="16384" width="11.453125" style="108"/>
  </cols>
  <sheetData>
    <row r="1" spans="1:16" ht="24" customHeight="1">
      <c r="C1" s="314" t="s">
        <v>158</v>
      </c>
      <c r="D1" s="314"/>
      <c r="E1" s="314"/>
      <c r="F1" s="314"/>
      <c r="G1" s="314"/>
      <c r="H1" s="314"/>
      <c r="I1" s="314"/>
      <c r="J1" s="314"/>
    </row>
    <row r="2" spans="1:16" ht="14.25" customHeight="1"/>
    <row r="3" spans="1:16" ht="21" customHeight="1">
      <c r="A3" s="109"/>
      <c r="C3" s="315" t="s">
        <v>1</v>
      </c>
      <c r="D3" s="315"/>
      <c r="E3" s="315"/>
      <c r="F3" s="315"/>
      <c r="G3" s="315"/>
      <c r="H3" s="315"/>
      <c r="I3" s="315"/>
      <c r="J3" s="315"/>
      <c r="K3" s="315"/>
      <c r="P3" s="110"/>
    </row>
    <row r="4" spans="1:16" ht="13.5" customHeight="1">
      <c r="A4" s="109"/>
    </row>
    <row r="5" spans="1:16" ht="13.5" customHeight="1">
      <c r="A5" s="109"/>
    </row>
    <row r="6" spans="1:16" ht="14.25" customHeight="1">
      <c r="A6" s="109"/>
      <c r="C6" s="111" t="s">
        <v>6</v>
      </c>
      <c r="D6" s="112" t="s">
        <v>7</v>
      </c>
      <c r="E6" s="113" t="s">
        <v>3</v>
      </c>
      <c r="F6" s="113" t="s">
        <v>9</v>
      </c>
    </row>
    <row r="7" spans="1:16" ht="14.25" customHeight="1">
      <c r="A7" s="109"/>
      <c r="B7" s="114" t="s">
        <v>8</v>
      </c>
      <c r="C7" s="115"/>
      <c r="D7" s="115"/>
      <c r="E7" s="115">
        <f>D7-C7</f>
        <v>0</v>
      </c>
      <c r="F7" s="116" t="e">
        <f>D7/C7-1</f>
        <v>#DIV/0!</v>
      </c>
    </row>
    <row r="8" spans="1:16" ht="14.25" customHeight="1">
      <c r="A8" s="109"/>
      <c r="B8" s="114" t="s">
        <v>49</v>
      </c>
      <c r="C8" s="117"/>
      <c r="D8" s="117"/>
      <c r="E8" s="117">
        <f>D8-C8</f>
        <v>0</v>
      </c>
      <c r="F8" s="116" t="e">
        <f>D8/C8-1</f>
        <v>#DIV/0!</v>
      </c>
      <c r="G8" s="118"/>
    </row>
    <row r="9" spans="1:16" ht="13.5" customHeight="1">
      <c r="A9" s="109"/>
    </row>
    <row r="10" spans="1:16" ht="13.5" customHeight="1">
      <c r="A10" s="109"/>
    </row>
    <row r="11" spans="1:16" ht="15" customHeight="1">
      <c r="A11" s="109"/>
      <c r="B11" s="316" t="s">
        <v>12</v>
      </c>
      <c r="C11" s="316"/>
      <c r="D11" s="316"/>
      <c r="E11" s="316"/>
      <c r="F11" s="316"/>
      <c r="G11" s="316"/>
      <c r="H11" s="316"/>
      <c r="I11" s="317" t="s">
        <v>13</v>
      </c>
      <c r="J11" s="317"/>
      <c r="K11" s="317"/>
      <c r="L11" s="317"/>
    </row>
    <row r="12" spans="1:16" ht="14.25" customHeight="1">
      <c r="A12" s="109"/>
      <c r="B12" s="119" t="s">
        <v>14</v>
      </c>
      <c r="C12" s="318" t="s">
        <v>15</v>
      </c>
      <c r="D12" s="318"/>
      <c r="E12" s="318"/>
      <c r="F12" s="119" t="s">
        <v>16</v>
      </c>
      <c r="G12" s="119" t="s">
        <v>17</v>
      </c>
      <c r="H12" s="120" t="s">
        <v>21</v>
      </c>
      <c r="I12" s="121" t="s">
        <v>18</v>
      </c>
      <c r="J12" s="122" t="s">
        <v>19</v>
      </c>
      <c r="K12" s="122" t="s">
        <v>20</v>
      </c>
      <c r="L12" s="122" t="s">
        <v>14</v>
      </c>
    </row>
    <row r="13" spans="1:16" ht="14.25" customHeight="1">
      <c r="A13" s="109"/>
      <c r="B13" s="319">
        <v>11500</v>
      </c>
      <c r="C13" s="320" t="s">
        <v>22</v>
      </c>
      <c r="D13" s="320"/>
      <c r="E13" s="320"/>
      <c r="F13" s="116">
        <v>0.75</v>
      </c>
      <c r="G13" s="123">
        <f>B13*F13</f>
        <v>8625</v>
      </c>
      <c r="H13" s="124">
        <v>0.9</v>
      </c>
      <c r="I13" s="125">
        <f>C8</f>
        <v>0</v>
      </c>
      <c r="J13" s="125">
        <f>D8</f>
        <v>0</v>
      </c>
      <c r="K13" s="126">
        <f>IFERROR(J13/I13,0)</f>
        <v>0</v>
      </c>
      <c r="L13" s="127">
        <f>IF(K13&lt;H13,0,K13*$G13)</f>
        <v>0</v>
      </c>
    </row>
    <row r="14" spans="1:16" ht="27.75" customHeight="1">
      <c r="A14" s="109"/>
      <c r="B14" s="319"/>
      <c r="C14" s="320" t="s">
        <v>161</v>
      </c>
      <c r="D14" s="320"/>
      <c r="E14" s="320"/>
      <c r="F14" s="116">
        <v>7.0000000000000007E-2</v>
      </c>
      <c r="G14" s="123">
        <f>B13*F14</f>
        <v>805.00000000000011</v>
      </c>
      <c r="H14" s="124">
        <v>1</v>
      </c>
      <c r="I14" s="125"/>
      <c r="J14" s="125"/>
      <c r="K14" s="126"/>
      <c r="L14" s="127"/>
    </row>
    <row r="15" spans="1:16" ht="14.25" customHeight="1">
      <c r="A15" s="109"/>
      <c r="B15" s="319"/>
      <c r="C15" s="320" t="s">
        <v>162</v>
      </c>
      <c r="D15" s="320"/>
      <c r="E15" s="320"/>
      <c r="F15" s="116">
        <v>0.1</v>
      </c>
      <c r="G15" s="123">
        <f>B13*F15</f>
        <v>1150</v>
      </c>
      <c r="H15" s="124">
        <v>0.7</v>
      </c>
      <c r="I15" s="116">
        <v>1</v>
      </c>
      <c r="J15" s="116"/>
      <c r="K15" s="116">
        <f>J15/I15</f>
        <v>0</v>
      </c>
      <c r="L15" s="127">
        <f>IF(K15&lt;H15,0,K15*$G15)</f>
        <v>0</v>
      </c>
    </row>
    <row r="16" spans="1:16" ht="27.75" customHeight="1">
      <c r="A16" s="109"/>
      <c r="B16" s="319"/>
      <c r="C16" s="320" t="s">
        <v>163</v>
      </c>
      <c r="D16" s="320"/>
      <c r="E16" s="320"/>
      <c r="F16" s="116">
        <v>0.08</v>
      </c>
      <c r="G16" s="123">
        <f>B13*F16</f>
        <v>920</v>
      </c>
      <c r="H16" s="124">
        <v>1</v>
      </c>
      <c r="I16" s="116">
        <v>1</v>
      </c>
      <c r="J16" s="116"/>
      <c r="K16" s="116">
        <f>J16/I16</f>
        <v>0</v>
      </c>
      <c r="L16" s="127">
        <f>IF(K16&lt;H16,0,K16*$G16)</f>
        <v>0</v>
      </c>
    </row>
    <row r="17" spans="1:16" ht="13.5" customHeight="1">
      <c r="A17" s="109"/>
      <c r="B17" s="319"/>
      <c r="C17" s="320"/>
      <c r="D17" s="320"/>
      <c r="E17" s="320"/>
      <c r="F17" s="116"/>
      <c r="G17" s="123">
        <f>B13*F17</f>
        <v>0</v>
      </c>
      <c r="H17" s="124"/>
      <c r="I17" s="116">
        <v>1</v>
      </c>
      <c r="J17" s="116"/>
      <c r="K17" s="116">
        <f>J17/I17</f>
        <v>0</v>
      </c>
      <c r="L17" s="127">
        <f>IF(K17&lt;H17,0,K17*$G17)</f>
        <v>0</v>
      </c>
    </row>
    <row r="18" spans="1:16" ht="27" customHeight="1">
      <c r="A18" s="109"/>
      <c r="B18" s="128"/>
      <c r="E18" s="129" t="s">
        <v>27</v>
      </c>
      <c r="F18" s="130">
        <f>SUM(F13:F17)</f>
        <v>1</v>
      </c>
      <c r="G18" s="131">
        <f>SUM(G13:G17)</f>
        <v>11500</v>
      </c>
      <c r="K18" s="132" t="s">
        <v>28</v>
      </c>
      <c r="L18" s="133">
        <f>SUM(L15:L17)</f>
        <v>0</v>
      </c>
      <c r="N18" s="134"/>
      <c r="O18" s="135"/>
    </row>
    <row r="19" spans="1:16" ht="14.25" customHeight="1">
      <c r="A19" s="109"/>
      <c r="F19" s="136"/>
      <c r="G19" s="136"/>
      <c r="N19" s="134"/>
      <c r="O19" s="135"/>
    </row>
    <row r="20" spans="1:16" ht="18" customHeight="1">
      <c r="A20" s="109"/>
      <c r="F20" s="136"/>
      <c r="G20" s="136"/>
      <c r="K20" s="137" t="s">
        <v>29</v>
      </c>
      <c r="L20" s="138">
        <f>+L18+L13</f>
        <v>0</v>
      </c>
    </row>
    <row r="21" spans="1:16" ht="13.5" customHeight="1">
      <c r="A21" s="109"/>
      <c r="F21" s="139"/>
      <c r="G21" s="139"/>
    </row>
    <row r="22" spans="1:16" ht="13.5" customHeight="1">
      <c r="A22" s="109"/>
      <c r="F22" s="139"/>
      <c r="G22" s="139"/>
      <c r="H22" s="140"/>
    </row>
    <row r="23" spans="1:16" ht="14.25" customHeight="1">
      <c r="A23" s="109"/>
      <c r="F23" s="139"/>
      <c r="G23" s="139"/>
      <c r="H23" s="140"/>
    </row>
    <row r="24" spans="1:16" ht="21" customHeight="1">
      <c r="C24" s="321" t="s">
        <v>30</v>
      </c>
      <c r="D24" s="321"/>
      <c r="E24" s="321"/>
      <c r="F24" s="321"/>
      <c r="G24" s="321"/>
      <c r="H24" s="321"/>
      <c r="I24" s="321"/>
      <c r="J24" s="321"/>
      <c r="K24" s="321"/>
    </row>
    <row r="25" spans="1:16" ht="13.5" customHeight="1">
      <c r="A25" s="109"/>
      <c r="P25" s="110"/>
    </row>
    <row r="27" spans="1:16" ht="14.25" customHeight="1">
      <c r="A27" s="109"/>
      <c r="C27" s="111" t="s">
        <v>6</v>
      </c>
      <c r="D27" s="112" t="s">
        <v>7</v>
      </c>
      <c r="E27" s="113" t="s">
        <v>3</v>
      </c>
      <c r="F27" s="113" t="s">
        <v>9</v>
      </c>
    </row>
    <row r="28" spans="1:16" ht="14.25" customHeight="1">
      <c r="A28" s="109"/>
      <c r="B28" s="114" t="s">
        <v>8</v>
      </c>
      <c r="C28" s="115"/>
      <c r="D28" s="115"/>
      <c r="E28" s="115">
        <f>D28-C28</f>
        <v>0</v>
      </c>
      <c r="F28" s="116" t="e">
        <f>D28/C28-1</f>
        <v>#DIV/0!</v>
      </c>
    </row>
    <row r="29" spans="1:16" ht="14.25" customHeight="1">
      <c r="A29" s="109"/>
      <c r="B29" s="114" t="s">
        <v>49</v>
      </c>
      <c r="C29" s="117"/>
      <c r="D29" s="117"/>
      <c r="E29" s="117">
        <f>D29-C29</f>
        <v>0</v>
      </c>
      <c r="F29" s="116" t="e">
        <f>D29/C29-1</f>
        <v>#DIV/0!</v>
      </c>
    </row>
    <row r="30" spans="1:16" ht="13.5" customHeight="1">
      <c r="A30" s="109"/>
    </row>
    <row r="31" spans="1:16" ht="13.5" customHeight="1">
      <c r="A31" s="109"/>
    </row>
    <row r="32" spans="1:16" ht="15" customHeight="1">
      <c r="A32" s="109"/>
      <c r="B32" s="316" t="s">
        <v>12</v>
      </c>
      <c r="C32" s="316"/>
      <c r="D32" s="316"/>
      <c r="E32" s="316"/>
      <c r="F32" s="316"/>
      <c r="G32" s="316"/>
      <c r="H32" s="316"/>
      <c r="I32" s="317" t="s">
        <v>13</v>
      </c>
      <c r="J32" s="317"/>
      <c r="K32" s="317"/>
      <c r="L32" s="317"/>
    </row>
    <row r="33" spans="1:15" ht="14.25" customHeight="1">
      <c r="A33" s="109"/>
      <c r="B33" s="119" t="s">
        <v>14</v>
      </c>
      <c r="C33" s="318" t="s">
        <v>15</v>
      </c>
      <c r="D33" s="318"/>
      <c r="E33" s="318"/>
      <c r="F33" s="119" t="s">
        <v>16</v>
      </c>
      <c r="G33" s="119" t="s">
        <v>17</v>
      </c>
      <c r="H33" s="120" t="s">
        <v>21</v>
      </c>
      <c r="I33" s="121" t="s">
        <v>18</v>
      </c>
      <c r="J33" s="122" t="s">
        <v>19</v>
      </c>
      <c r="K33" s="122" t="s">
        <v>20</v>
      </c>
      <c r="L33" s="122" t="s">
        <v>14</v>
      </c>
    </row>
    <row r="34" spans="1:15" ht="30" customHeight="1">
      <c r="A34" s="109"/>
      <c r="B34" s="322">
        <v>10500</v>
      </c>
      <c r="C34" s="320" t="s">
        <v>22</v>
      </c>
      <c r="D34" s="320"/>
      <c r="E34" s="320"/>
      <c r="F34" s="142">
        <v>0.7</v>
      </c>
      <c r="G34" s="123">
        <f>B34*F34</f>
        <v>7349.9999999999991</v>
      </c>
      <c r="H34" s="144">
        <v>0.75</v>
      </c>
      <c r="I34" s="141">
        <f>C29</f>
        <v>0</v>
      </c>
      <c r="J34" s="141">
        <f>D29</f>
        <v>0</v>
      </c>
      <c r="K34" s="145">
        <f>IFERROR(J34/I34,0)</f>
        <v>0</v>
      </c>
      <c r="L34" s="127">
        <f>IF(K34&lt;H34,0,K34*$G34)</f>
        <v>0</v>
      </c>
    </row>
    <row r="35" spans="1:15" ht="14.25" customHeight="1">
      <c r="A35" s="109"/>
      <c r="B35" s="322"/>
      <c r="C35" s="320" t="s">
        <v>164</v>
      </c>
      <c r="D35" s="320"/>
      <c r="E35" s="320"/>
      <c r="F35" s="142">
        <v>0.15</v>
      </c>
      <c r="G35" s="123">
        <f>B34*F35</f>
        <v>1575</v>
      </c>
      <c r="H35" s="144">
        <v>0.5</v>
      </c>
      <c r="I35" s="116">
        <v>1</v>
      </c>
      <c r="J35" s="141"/>
      <c r="K35" s="145">
        <f>IFERROR(J35/I35,0)</f>
        <v>0</v>
      </c>
      <c r="L35" s="127">
        <f>IF(K35&lt;H35,0,K35*$G35)</f>
        <v>0</v>
      </c>
    </row>
    <row r="36" spans="1:15" ht="14.25" customHeight="1">
      <c r="A36" s="109"/>
      <c r="B36" s="322"/>
      <c r="C36" s="320" t="s">
        <v>162</v>
      </c>
      <c r="D36" s="320"/>
      <c r="E36" s="320"/>
      <c r="F36" s="142">
        <v>0.15</v>
      </c>
      <c r="G36" s="123">
        <f>B34*F36</f>
        <v>1575</v>
      </c>
      <c r="H36" s="144">
        <v>0.5</v>
      </c>
      <c r="I36" s="116">
        <v>1</v>
      </c>
      <c r="J36" s="116"/>
      <c r="K36" s="145">
        <f>IFERROR(J36/I36,0)</f>
        <v>0</v>
      </c>
      <c r="L36" s="127">
        <f>IF(K36&lt;H36,0,K36*$G36)</f>
        <v>0</v>
      </c>
    </row>
    <row r="37" spans="1:15" ht="13.5" customHeight="1">
      <c r="A37" s="109"/>
      <c r="B37" s="322"/>
      <c r="C37" s="320"/>
      <c r="D37" s="320"/>
      <c r="E37" s="320"/>
      <c r="F37" s="142"/>
      <c r="G37" s="143"/>
      <c r="H37" s="144">
        <v>0</v>
      </c>
      <c r="I37" s="116">
        <v>1</v>
      </c>
      <c r="J37" s="116"/>
      <c r="K37" s="145">
        <f>IFERROR(J37/I37,0)</f>
        <v>0</v>
      </c>
      <c r="L37" s="127">
        <f>IF(K37&lt;H37,0,K37*$G37)</f>
        <v>0</v>
      </c>
    </row>
    <row r="38" spans="1:15" ht="13.5" customHeight="1">
      <c r="A38" s="109"/>
      <c r="B38" s="322"/>
      <c r="C38" s="320"/>
      <c r="D38" s="320"/>
      <c r="E38" s="320"/>
      <c r="F38" s="142"/>
      <c r="G38" s="143"/>
      <c r="H38" s="144">
        <v>0</v>
      </c>
      <c r="I38" s="116">
        <v>1</v>
      </c>
      <c r="J38" s="116"/>
      <c r="K38" s="145">
        <f>IFERROR(J38/I38,0)</f>
        <v>0</v>
      </c>
      <c r="L38" s="127">
        <f>IF(K38&lt;H38,0,K38*$G38)</f>
        <v>0</v>
      </c>
    </row>
    <row r="39" spans="1:15" ht="27" customHeight="1">
      <c r="A39" s="109"/>
      <c r="B39" s="128"/>
      <c r="E39" s="130" t="s">
        <v>27</v>
      </c>
      <c r="F39" s="130">
        <f>SUM(F34:F38)</f>
        <v>1</v>
      </c>
      <c r="G39" s="146">
        <f>SUM(G33:G38)</f>
        <v>10500</v>
      </c>
      <c r="K39" s="132" t="s">
        <v>28</v>
      </c>
      <c r="L39" s="133">
        <f>SUM(L36:L36)</f>
        <v>0</v>
      </c>
      <c r="N39" s="134"/>
      <c r="O39" s="135"/>
    </row>
    <row r="40" spans="1:15" ht="14.25" customHeight="1">
      <c r="A40" s="109"/>
      <c r="F40" s="136"/>
      <c r="G40" s="136"/>
      <c r="N40" s="134"/>
      <c r="O40" s="135"/>
    </row>
    <row r="41" spans="1:15" ht="18" customHeight="1">
      <c r="A41" s="109"/>
      <c r="F41" s="136"/>
      <c r="G41" s="136"/>
      <c r="K41" s="137" t="s">
        <v>29</v>
      </c>
      <c r="L41" s="138">
        <f>+L39+L34</f>
        <v>0</v>
      </c>
    </row>
    <row r="42" spans="1:15" ht="13.5" customHeight="1">
      <c r="F42" s="136"/>
      <c r="G42" s="136"/>
      <c r="H42" s="140"/>
    </row>
    <row r="43" spans="1:15" ht="13.5" customHeight="1">
      <c r="F43" s="136"/>
      <c r="G43" s="136"/>
    </row>
    <row r="44" spans="1:15" ht="14.25" customHeight="1"/>
    <row r="45" spans="1:15" ht="21" customHeight="1">
      <c r="C45" s="321" t="s">
        <v>41</v>
      </c>
      <c r="D45" s="321"/>
      <c r="E45" s="321"/>
      <c r="F45" s="321"/>
      <c r="G45" s="321"/>
      <c r="H45" s="321"/>
      <c r="I45" s="321"/>
      <c r="J45" s="321"/>
      <c r="K45" s="321"/>
    </row>
    <row r="48" spans="1:15" ht="14.25" customHeight="1">
      <c r="C48" s="111" t="s">
        <v>6</v>
      </c>
      <c r="D48" s="112" t="s">
        <v>7</v>
      </c>
      <c r="E48" s="113" t="s">
        <v>8</v>
      </c>
      <c r="F48" s="113" t="s">
        <v>9</v>
      </c>
    </row>
    <row r="49" spans="2:15" ht="14.25" customHeight="1">
      <c r="B49" s="114" t="s">
        <v>8</v>
      </c>
      <c r="C49" s="147"/>
      <c r="D49" s="147"/>
      <c r="E49" s="147"/>
      <c r="F49" s="116" t="e">
        <f>D49/C49-1</f>
        <v>#DIV/0!</v>
      </c>
    </row>
    <row r="50" spans="2:15" ht="14.25" customHeight="1">
      <c r="B50" s="114" t="s">
        <v>49</v>
      </c>
      <c r="C50" s="148"/>
      <c r="D50" s="148"/>
      <c r="E50" s="148"/>
      <c r="F50" s="116" t="e">
        <f>D50/C50-1</f>
        <v>#DIV/0!</v>
      </c>
    </row>
    <row r="53" spans="2:15" ht="15" customHeight="1">
      <c r="B53" s="316" t="s">
        <v>12</v>
      </c>
      <c r="C53" s="316"/>
      <c r="D53" s="316"/>
      <c r="E53" s="316"/>
      <c r="F53" s="316"/>
      <c r="G53" s="316"/>
      <c r="H53" s="316"/>
      <c r="I53" s="317" t="s">
        <v>13</v>
      </c>
      <c r="J53" s="317"/>
      <c r="K53" s="317"/>
      <c r="L53" s="317"/>
    </row>
    <row r="54" spans="2:15" ht="14.25" customHeight="1">
      <c r="B54" s="119" t="s">
        <v>14</v>
      </c>
      <c r="C54" s="318" t="s">
        <v>15</v>
      </c>
      <c r="D54" s="318"/>
      <c r="E54" s="318"/>
      <c r="F54" s="119" t="s">
        <v>16</v>
      </c>
      <c r="G54" s="119" t="s">
        <v>17</v>
      </c>
      <c r="H54" s="120" t="s">
        <v>21</v>
      </c>
      <c r="I54" s="121" t="s">
        <v>18</v>
      </c>
      <c r="J54" s="122" t="s">
        <v>19</v>
      </c>
      <c r="K54" s="122" t="s">
        <v>20</v>
      </c>
      <c r="L54" s="122" t="s">
        <v>14</v>
      </c>
    </row>
    <row r="55" spans="2:15" ht="14.25" customHeight="1">
      <c r="B55" s="319">
        <v>10000</v>
      </c>
      <c r="C55" s="323" t="s">
        <v>22</v>
      </c>
      <c r="D55" s="323"/>
      <c r="E55" s="323"/>
      <c r="F55" s="149">
        <v>0.7</v>
      </c>
      <c r="G55" s="123">
        <f>+F55*B55</f>
        <v>7000</v>
      </c>
      <c r="H55" s="144">
        <v>0.9</v>
      </c>
      <c r="I55" s="125">
        <f>C50</f>
        <v>0</v>
      </c>
      <c r="J55" s="141">
        <f>D50</f>
        <v>0</v>
      </c>
      <c r="K55" s="126">
        <f>IFERROR(J55/I55,0)</f>
        <v>0</v>
      </c>
      <c r="L55" s="127">
        <f>IF(K55&lt;H55,0,K55*$G55)</f>
        <v>0</v>
      </c>
    </row>
    <row r="56" spans="2:15" ht="14.25" customHeight="1">
      <c r="B56" s="319"/>
      <c r="C56" s="323" t="s">
        <v>159</v>
      </c>
      <c r="D56" s="323"/>
      <c r="E56" s="323"/>
      <c r="F56" s="149">
        <v>0.1</v>
      </c>
      <c r="G56" s="123">
        <f>B55*F56</f>
        <v>1000</v>
      </c>
      <c r="H56" s="124">
        <v>1</v>
      </c>
      <c r="I56" s="145">
        <v>1</v>
      </c>
      <c r="J56" s="150">
        <v>0</v>
      </c>
      <c r="K56" s="145">
        <v>0.5</v>
      </c>
      <c r="L56" s="127">
        <f>IF(K56&lt;H56,0,K56*$G56)</f>
        <v>0</v>
      </c>
      <c r="O56" s="132"/>
    </row>
    <row r="57" spans="2:15" ht="14.25" customHeight="1">
      <c r="B57" s="319"/>
      <c r="C57" s="320" t="s">
        <v>162</v>
      </c>
      <c r="D57" s="320"/>
      <c r="E57" s="320"/>
      <c r="F57" s="149">
        <v>0.1</v>
      </c>
      <c r="G57" s="123">
        <f>+F57*B55</f>
        <v>1000</v>
      </c>
      <c r="H57" s="144">
        <v>1</v>
      </c>
      <c r="I57" s="145">
        <v>1</v>
      </c>
      <c r="J57" s="145"/>
      <c r="K57" s="126">
        <v>0.5</v>
      </c>
      <c r="L57" s="127">
        <f>IF(K57&lt;H57,0,K57*$G57)</f>
        <v>0</v>
      </c>
    </row>
    <row r="58" spans="2:15" ht="27.75" customHeight="1">
      <c r="B58" s="319"/>
      <c r="C58" s="320" t="s">
        <v>163</v>
      </c>
      <c r="D58" s="320"/>
      <c r="E58" s="320"/>
      <c r="F58" s="149">
        <v>0.1</v>
      </c>
      <c r="G58" s="123">
        <f>+F58*B55</f>
        <v>1000</v>
      </c>
      <c r="H58" s="144">
        <v>1</v>
      </c>
      <c r="I58" s="145">
        <v>1</v>
      </c>
      <c r="J58" s="145"/>
      <c r="K58" s="126">
        <f>IFERROR(J58/I58,0)</f>
        <v>0</v>
      </c>
      <c r="L58" s="127">
        <f>IF(K58&lt;H58,0,K58*$G58)</f>
        <v>0</v>
      </c>
    </row>
    <row r="59" spans="2:15" ht="13.5" customHeight="1">
      <c r="B59" s="319"/>
      <c r="C59" s="323"/>
      <c r="D59" s="323"/>
      <c r="E59" s="323"/>
      <c r="F59" s="151"/>
      <c r="G59" s="123">
        <f>+F59*B55</f>
        <v>0</v>
      </c>
      <c r="H59" s="144"/>
      <c r="I59" s="145">
        <v>1</v>
      </c>
      <c r="J59" s="145"/>
      <c r="K59" s="126">
        <f>IFERROR(J59/I59,0)</f>
        <v>0</v>
      </c>
      <c r="L59" s="127">
        <f>IF(K59&lt;H59,0,K59*$G59)</f>
        <v>0</v>
      </c>
    </row>
    <row r="60" spans="2:15" ht="27" customHeight="1">
      <c r="B60" s="128"/>
      <c r="E60" s="129" t="s">
        <v>27</v>
      </c>
      <c r="F60" s="130">
        <f>SUM(F55:F59)</f>
        <v>0.99999999999999989</v>
      </c>
      <c r="G60" s="131">
        <f>SUM(G55:G59)</f>
        <v>10000</v>
      </c>
      <c r="H60" s="139"/>
      <c r="K60" s="132" t="s">
        <v>28</v>
      </c>
      <c r="L60" s="133">
        <f>SUM(L56:L59)</f>
        <v>0</v>
      </c>
      <c r="N60" s="152"/>
    </row>
    <row r="61" spans="2:15" ht="14.25" customHeight="1">
      <c r="F61" s="136"/>
      <c r="G61" s="136"/>
    </row>
    <row r="62" spans="2:15" ht="18" customHeight="1">
      <c r="F62" s="136"/>
      <c r="G62" s="136"/>
      <c r="K62" s="137" t="s">
        <v>29</v>
      </c>
      <c r="L62" s="138">
        <f>+L60+L55</f>
        <v>0</v>
      </c>
    </row>
    <row r="63" spans="2:15" ht="13.5" customHeight="1">
      <c r="F63" s="136"/>
      <c r="G63" s="136"/>
    </row>
    <row r="65" spans="1:14" ht="14.25" customHeight="1"/>
    <row r="66" spans="1:14" ht="21" customHeight="1">
      <c r="C66" s="321" t="s">
        <v>47</v>
      </c>
      <c r="D66" s="321"/>
      <c r="E66" s="321"/>
      <c r="F66" s="321"/>
      <c r="G66" s="321"/>
      <c r="H66" s="321"/>
      <c r="I66" s="321"/>
      <c r="J66" s="321"/>
      <c r="K66" s="321"/>
    </row>
    <row r="69" spans="1:14" ht="14.25" customHeight="1">
      <c r="A69" s="109"/>
      <c r="C69" s="111" t="s">
        <v>6</v>
      </c>
      <c r="D69" s="112" t="s">
        <v>7</v>
      </c>
      <c r="E69" s="113" t="s">
        <v>8</v>
      </c>
      <c r="F69" s="113" t="s">
        <v>9</v>
      </c>
    </row>
    <row r="70" spans="1:14" ht="14.25" customHeight="1">
      <c r="B70" s="114" t="s">
        <v>8</v>
      </c>
      <c r="C70" s="115"/>
      <c r="D70" s="115"/>
      <c r="E70" s="115"/>
      <c r="F70" s="116" t="e">
        <f>D70/C70-1</f>
        <v>#DIV/0!</v>
      </c>
    </row>
    <row r="71" spans="1:14" ht="14.25" customHeight="1">
      <c r="B71" s="114" t="s">
        <v>49</v>
      </c>
      <c r="C71" s="117"/>
      <c r="D71" s="117"/>
      <c r="E71" s="117"/>
      <c r="F71" s="116" t="e">
        <f>D71/C71-1</f>
        <v>#DIV/0!</v>
      </c>
    </row>
    <row r="74" spans="1:14" ht="15" customHeight="1">
      <c r="B74" s="316" t="s">
        <v>12</v>
      </c>
      <c r="C74" s="316"/>
      <c r="D74" s="316"/>
      <c r="E74" s="316"/>
      <c r="F74" s="316"/>
      <c r="G74" s="316"/>
      <c r="H74" s="316"/>
      <c r="I74" s="317" t="s">
        <v>13</v>
      </c>
      <c r="J74" s="317"/>
      <c r="K74" s="317"/>
      <c r="L74" s="317"/>
    </row>
    <row r="75" spans="1:14" ht="14.25" customHeight="1">
      <c r="B75" s="119" t="s">
        <v>14</v>
      </c>
      <c r="C75" s="318" t="s">
        <v>15</v>
      </c>
      <c r="D75" s="318"/>
      <c r="E75" s="318"/>
      <c r="F75" s="119" t="s">
        <v>16</v>
      </c>
      <c r="G75" s="119" t="s">
        <v>17</v>
      </c>
      <c r="H75" s="120" t="s">
        <v>21</v>
      </c>
      <c r="I75" s="121" t="s">
        <v>18</v>
      </c>
      <c r="J75" s="122" t="s">
        <v>19</v>
      </c>
      <c r="K75" s="122" t="s">
        <v>20</v>
      </c>
      <c r="L75" s="122" t="s">
        <v>14</v>
      </c>
    </row>
    <row r="76" spans="1:14" ht="14.25" customHeight="1">
      <c r="B76" s="319">
        <v>4000</v>
      </c>
      <c r="C76" s="324" t="s">
        <v>22</v>
      </c>
      <c r="D76" s="324"/>
      <c r="E76" s="324"/>
      <c r="F76" s="149">
        <v>0.8</v>
      </c>
      <c r="G76" s="123">
        <f>+F76*B76</f>
        <v>3200</v>
      </c>
      <c r="H76" s="145">
        <v>0.75</v>
      </c>
      <c r="I76" s="125">
        <f>C71</f>
        <v>0</v>
      </c>
      <c r="J76" s="141">
        <f>D71</f>
        <v>0</v>
      </c>
      <c r="K76" s="126">
        <f>IFERROR(J76/I76,0)</f>
        <v>0</v>
      </c>
      <c r="L76" s="127">
        <f>IF(K76&lt;H76,0,K76*$G76)</f>
        <v>0</v>
      </c>
    </row>
    <row r="77" spans="1:14" ht="14.25" customHeight="1">
      <c r="B77" s="319"/>
      <c r="C77" s="320" t="s">
        <v>165</v>
      </c>
      <c r="D77" s="320"/>
      <c r="E77" s="320"/>
      <c r="F77" s="151">
        <v>0.2</v>
      </c>
      <c r="G77" s="123">
        <f>+F77*B76</f>
        <v>800</v>
      </c>
      <c r="H77" s="145">
        <v>0.6</v>
      </c>
      <c r="I77" s="145">
        <v>1</v>
      </c>
      <c r="J77" s="145"/>
      <c r="K77" s="126">
        <f>IFERROR(J77/I77,0)</f>
        <v>0</v>
      </c>
      <c r="L77" s="127">
        <f>IF(K77&lt;H77,0,K77*$G77)</f>
        <v>0</v>
      </c>
    </row>
    <row r="78" spans="1:14" ht="27" customHeight="1">
      <c r="B78" s="128"/>
      <c r="E78" s="129" t="s">
        <v>27</v>
      </c>
      <c r="F78" s="130">
        <f>SUM(F76:F77)</f>
        <v>1</v>
      </c>
      <c r="G78" s="131">
        <f>SUM(G76:G77)</f>
        <v>4000</v>
      </c>
      <c r="H78" s="139"/>
      <c r="K78" s="132" t="s">
        <v>28</v>
      </c>
      <c r="L78" s="133">
        <f>SUM(L77:L77)</f>
        <v>0</v>
      </c>
      <c r="N78" s="152"/>
    </row>
    <row r="79" spans="1:14" ht="14.25" customHeight="1">
      <c r="F79" s="136"/>
      <c r="G79" s="136"/>
    </row>
    <row r="80" spans="1:14" ht="18" customHeight="1">
      <c r="F80" s="136"/>
      <c r="G80" s="136"/>
      <c r="K80" s="137" t="s">
        <v>29</v>
      </c>
      <c r="L80" s="138">
        <f>+L78+L76</f>
        <v>0</v>
      </c>
    </row>
    <row r="81" spans="1:12" ht="13.5" customHeight="1">
      <c r="F81" s="136"/>
      <c r="G81" s="136"/>
    </row>
    <row r="83" spans="1:12" ht="14.25" customHeight="1"/>
    <row r="84" spans="1:12" ht="21" customHeight="1">
      <c r="C84" s="321" t="s">
        <v>157</v>
      </c>
      <c r="D84" s="321"/>
      <c r="E84" s="321"/>
      <c r="F84" s="321"/>
      <c r="G84" s="321"/>
      <c r="H84" s="321"/>
      <c r="I84" s="321"/>
      <c r="J84" s="321"/>
      <c r="K84" s="321"/>
    </row>
    <row r="87" spans="1:12" ht="14.25" customHeight="1">
      <c r="A87" s="109"/>
      <c r="C87" s="111" t="s">
        <v>6</v>
      </c>
      <c r="D87" s="112" t="s">
        <v>7</v>
      </c>
      <c r="E87" s="113" t="s">
        <v>8</v>
      </c>
      <c r="F87" s="113" t="s">
        <v>9</v>
      </c>
    </row>
    <row r="88" spans="1:12" ht="14.25" customHeight="1">
      <c r="B88" s="114" t="s">
        <v>8</v>
      </c>
      <c r="C88" s="115">
        <v>72301.279999999999</v>
      </c>
      <c r="D88" s="115">
        <v>72233.240000000005</v>
      </c>
      <c r="E88" s="115">
        <f>D88-C88</f>
        <v>-68.039999999993597</v>
      </c>
      <c r="F88" s="116">
        <f>D88/C88-1</f>
        <v>-9.4106217759892807E-4</v>
      </c>
    </row>
    <row r="89" spans="1:12" ht="14.25" customHeight="1">
      <c r="B89" s="114" t="s">
        <v>49</v>
      </c>
      <c r="C89" s="117">
        <v>1660857.561</v>
      </c>
      <c r="D89" s="117">
        <v>1836426.52</v>
      </c>
      <c r="E89" s="117">
        <f>D89-C89</f>
        <v>175568.95900000003</v>
      </c>
      <c r="F89" s="116">
        <f>D89/C89-1</f>
        <v>0.1057098231195035</v>
      </c>
    </row>
    <row r="92" spans="1:12" ht="15" customHeight="1">
      <c r="B92" s="316" t="s">
        <v>12</v>
      </c>
      <c r="C92" s="316"/>
      <c r="D92" s="316"/>
      <c r="E92" s="316"/>
      <c r="F92" s="316"/>
      <c r="G92" s="316"/>
      <c r="H92" s="316"/>
      <c r="I92" s="317" t="s">
        <v>13</v>
      </c>
      <c r="J92" s="317"/>
      <c r="K92" s="317"/>
      <c r="L92" s="317"/>
    </row>
    <row r="93" spans="1:12" ht="14.25" customHeight="1">
      <c r="B93" s="119" t="s">
        <v>14</v>
      </c>
      <c r="C93" s="318" t="s">
        <v>15</v>
      </c>
      <c r="D93" s="318"/>
      <c r="E93" s="318"/>
      <c r="F93" s="119" t="s">
        <v>16</v>
      </c>
      <c r="G93" s="119" t="s">
        <v>17</v>
      </c>
      <c r="H93" s="120" t="s">
        <v>21</v>
      </c>
      <c r="I93" s="121" t="s">
        <v>18</v>
      </c>
      <c r="J93" s="122" t="s">
        <v>19</v>
      </c>
      <c r="K93" s="122" t="s">
        <v>20</v>
      </c>
      <c r="L93" s="122" t="s">
        <v>14</v>
      </c>
    </row>
    <row r="94" spans="1:12" ht="14.25" customHeight="1">
      <c r="B94" s="319"/>
      <c r="C94" s="325" t="s">
        <v>22</v>
      </c>
      <c r="D94" s="325"/>
      <c r="E94" s="325"/>
      <c r="F94" s="149">
        <v>1</v>
      </c>
      <c r="G94" s="123">
        <f>+F94*B94</f>
        <v>0</v>
      </c>
      <c r="H94" s="145">
        <v>0.8</v>
      </c>
      <c r="I94" s="125">
        <f>C89</f>
        <v>1660857.561</v>
      </c>
      <c r="J94" s="141">
        <f>D89</f>
        <v>1836426.52</v>
      </c>
      <c r="K94" s="126">
        <f>IFERROR(J94/I94,0)</f>
        <v>1.1057098231195035</v>
      </c>
      <c r="L94" s="127">
        <f>IF(K94&lt;H94,0,K94*$G94)</f>
        <v>0</v>
      </c>
    </row>
    <row r="95" spans="1:12" ht="14.25" customHeight="1">
      <c r="B95" s="319"/>
      <c r="C95" s="326"/>
      <c r="D95" s="326"/>
      <c r="E95" s="326"/>
      <c r="F95" s="149"/>
      <c r="G95" s="123">
        <f>B94*F95</f>
        <v>0</v>
      </c>
      <c r="H95" s="153">
        <v>0.8</v>
      </c>
      <c r="I95" s="145">
        <v>1</v>
      </c>
      <c r="J95" s="150"/>
      <c r="K95" s="145">
        <f>J95/I95</f>
        <v>0</v>
      </c>
      <c r="L95" s="127">
        <f>IF(K95&lt;H95,0,K95*$G95)</f>
        <v>0</v>
      </c>
    </row>
    <row r="96" spans="1:12" ht="13.5" customHeight="1">
      <c r="B96" s="319"/>
      <c r="C96" s="326"/>
      <c r="D96" s="326"/>
      <c r="E96" s="326"/>
      <c r="F96" s="149"/>
      <c r="G96" s="123">
        <f>+F96*B94</f>
        <v>0</v>
      </c>
      <c r="H96" s="145">
        <v>1</v>
      </c>
      <c r="I96" s="145">
        <v>1</v>
      </c>
      <c r="J96" s="145"/>
      <c r="K96" s="126">
        <f>IFERROR(J96/I96,0)</f>
        <v>0</v>
      </c>
      <c r="L96" s="127">
        <f>IF(K96&lt;H96,0,K96*$G96)</f>
        <v>0</v>
      </c>
    </row>
    <row r="97" spans="2:14" ht="13.5" customHeight="1">
      <c r="B97" s="319"/>
      <c r="C97" s="326"/>
      <c r="D97" s="326"/>
      <c r="E97" s="326"/>
      <c r="F97" s="149"/>
      <c r="G97" s="123">
        <f>+F97*B94</f>
        <v>0</v>
      </c>
      <c r="H97" s="145">
        <v>1</v>
      </c>
      <c r="I97" s="145">
        <v>1</v>
      </c>
      <c r="J97" s="145"/>
      <c r="K97" s="126">
        <f>IFERROR(J97/I97,0)</f>
        <v>0</v>
      </c>
      <c r="L97" s="127">
        <f>IF(K97&lt;H97,0,K97*$G97)</f>
        <v>0</v>
      </c>
    </row>
    <row r="98" spans="2:14" ht="13.5" customHeight="1">
      <c r="B98" s="319"/>
      <c r="C98" s="326"/>
      <c r="D98" s="326"/>
      <c r="E98" s="326"/>
      <c r="F98" s="151"/>
      <c r="G98" s="123">
        <f>+F98*B94</f>
        <v>0</v>
      </c>
      <c r="H98" s="145">
        <v>1</v>
      </c>
      <c r="I98" s="145">
        <v>1</v>
      </c>
      <c r="J98" s="145"/>
      <c r="K98" s="126">
        <f>IFERROR(J98/I98,0)</f>
        <v>0</v>
      </c>
      <c r="L98" s="127">
        <f>IF(K98&lt;H98,0,K98*$G98)</f>
        <v>0</v>
      </c>
    </row>
    <row r="99" spans="2:14" ht="27" customHeight="1">
      <c r="B99" s="128"/>
      <c r="E99" s="129" t="s">
        <v>27</v>
      </c>
      <c r="F99" s="130">
        <f>SUM(F94:F98)</f>
        <v>1</v>
      </c>
      <c r="G99" s="131">
        <f>SUM(G94:G98)</f>
        <v>0</v>
      </c>
      <c r="H99" s="139"/>
      <c r="K99" s="132" t="s">
        <v>28</v>
      </c>
      <c r="L99" s="133">
        <f>SUM(L95:L98)</f>
        <v>0</v>
      </c>
      <c r="N99" s="152"/>
    </row>
    <row r="100" spans="2:14" ht="14.25" customHeight="1">
      <c r="F100" s="136"/>
      <c r="G100" s="136"/>
    </row>
    <row r="101" spans="2:14" ht="18" customHeight="1">
      <c r="F101" s="136"/>
      <c r="G101" s="136"/>
      <c r="K101" s="137" t="s">
        <v>29</v>
      </c>
      <c r="L101" s="138">
        <f>+L99+L94</f>
        <v>0</v>
      </c>
    </row>
    <row r="102" spans="2:14" ht="13.5" customHeight="1">
      <c r="F102" s="139"/>
      <c r="G102" s="139"/>
    </row>
    <row r="104" spans="2:14" ht="14.25" customHeight="1"/>
    <row r="105" spans="2:14" ht="21" customHeight="1">
      <c r="C105" s="321" t="s">
        <v>37</v>
      </c>
      <c r="D105" s="321"/>
      <c r="E105" s="321"/>
      <c r="F105" s="321"/>
      <c r="G105" s="321"/>
      <c r="H105" s="321"/>
      <c r="I105" s="321"/>
      <c r="J105" s="321"/>
      <c r="K105" s="321"/>
    </row>
    <row r="107" spans="2:14" ht="13.5" customHeight="1">
      <c r="C107" s="327" t="s">
        <v>2</v>
      </c>
      <c r="D107" s="327"/>
      <c r="E107" s="154" t="s">
        <v>3</v>
      </c>
      <c r="F107" s="154"/>
    </row>
    <row r="108" spans="2:14" ht="14.25" customHeight="1">
      <c r="B108" s="114" t="s">
        <v>8</v>
      </c>
      <c r="C108" s="111" t="s">
        <v>6</v>
      </c>
      <c r="D108" s="112" t="s">
        <v>7</v>
      </c>
      <c r="E108" s="113" t="s">
        <v>8</v>
      </c>
      <c r="F108" s="113" t="s">
        <v>9</v>
      </c>
    </row>
    <row r="109" spans="2:14" ht="14.25" customHeight="1">
      <c r="B109" s="114" t="s">
        <v>49</v>
      </c>
      <c r="C109" s="147">
        <v>21857.81</v>
      </c>
      <c r="D109" s="147">
        <v>28212.25</v>
      </c>
      <c r="E109" s="147">
        <f>D109-C109</f>
        <v>6354.4399999999987</v>
      </c>
      <c r="F109" s="116">
        <f>D109/C109-1</f>
        <v>0.29071713954874712</v>
      </c>
    </row>
    <row r="110" spans="2:14" ht="14.25" customHeight="1">
      <c r="C110" s="148">
        <v>1321719.86716667</v>
      </c>
      <c r="D110" s="148">
        <v>1792760.89</v>
      </c>
      <c r="E110" s="148">
        <f>D110-C110</f>
        <v>471041.02283332986</v>
      </c>
      <c r="F110" s="116">
        <f>D110/C110-1</f>
        <v>0.3563849152415981</v>
      </c>
    </row>
    <row r="113" spans="2:12" ht="15" customHeight="1">
      <c r="B113" s="316" t="s">
        <v>12</v>
      </c>
      <c r="C113" s="316"/>
      <c r="D113" s="316"/>
      <c r="E113" s="316"/>
      <c r="F113" s="316"/>
      <c r="G113" s="316"/>
      <c r="H113" s="316"/>
      <c r="I113" s="317" t="s">
        <v>13</v>
      </c>
      <c r="J113" s="317"/>
      <c r="K113" s="317"/>
      <c r="L113" s="317"/>
    </row>
    <row r="114" spans="2:12" ht="14.25" customHeight="1">
      <c r="B114" s="119" t="s">
        <v>14</v>
      </c>
      <c r="C114" s="318" t="s">
        <v>15</v>
      </c>
      <c r="D114" s="318"/>
      <c r="E114" s="318"/>
      <c r="F114" s="119" t="s">
        <v>16</v>
      </c>
      <c r="G114" s="119" t="s">
        <v>17</v>
      </c>
      <c r="H114" s="120" t="s">
        <v>21</v>
      </c>
      <c r="I114" s="121" t="s">
        <v>18</v>
      </c>
      <c r="J114" s="122" t="s">
        <v>19</v>
      </c>
      <c r="K114" s="122" t="s">
        <v>20</v>
      </c>
      <c r="L114" s="122" t="s">
        <v>14</v>
      </c>
    </row>
    <row r="115" spans="2:12" ht="14.25" customHeight="1">
      <c r="B115" s="328">
        <v>7000</v>
      </c>
      <c r="C115" s="323" t="s">
        <v>22</v>
      </c>
      <c r="D115" s="323"/>
      <c r="E115" s="323"/>
      <c r="F115" s="151">
        <v>0.5</v>
      </c>
      <c r="G115" s="127">
        <f>B115*F115</f>
        <v>3500</v>
      </c>
      <c r="H115" s="145">
        <v>0.95</v>
      </c>
      <c r="I115" s="141">
        <f>C110</f>
        <v>1321719.86716667</v>
      </c>
      <c r="J115" s="141">
        <f>D110</f>
        <v>1792760.89</v>
      </c>
      <c r="K115" s="145">
        <f>IFERROR(J115/I115,0)</f>
        <v>1.3563849152415981</v>
      </c>
      <c r="L115" s="127">
        <f>IF(K115&lt;H115,0,K115*$G115)</f>
        <v>4747.3472033455937</v>
      </c>
    </row>
    <row r="116" spans="2:12" ht="21" customHeight="1">
      <c r="B116" s="328"/>
      <c r="C116" s="323" t="s">
        <v>38</v>
      </c>
      <c r="D116" s="323"/>
      <c r="E116" s="323"/>
      <c r="F116" s="151">
        <v>0.2</v>
      </c>
      <c r="G116" s="127">
        <f>B115*F116</f>
        <v>1400</v>
      </c>
      <c r="H116" s="145">
        <v>0.75</v>
      </c>
      <c r="I116" s="145">
        <v>1</v>
      </c>
      <c r="J116" s="145"/>
      <c r="K116" s="126">
        <f>IFERROR(J116/I116,0)</f>
        <v>0</v>
      </c>
      <c r="L116" s="127">
        <f>IF(K116&lt;H116,0,K116*$G116)</f>
        <v>0</v>
      </c>
    </row>
    <row r="117" spans="2:12" ht="14.25" customHeight="1">
      <c r="B117" s="328"/>
      <c r="C117" s="323" t="s">
        <v>39</v>
      </c>
      <c r="D117" s="323"/>
      <c r="E117" s="323"/>
      <c r="F117" s="151">
        <v>0.2</v>
      </c>
      <c r="G117" s="127">
        <f>B115*F117</f>
        <v>1400</v>
      </c>
      <c r="H117" s="145">
        <v>0.75</v>
      </c>
      <c r="I117" s="145">
        <v>1</v>
      </c>
      <c r="J117" s="145"/>
      <c r="K117" s="126">
        <f>IFERROR(J117/I117,0)</f>
        <v>0</v>
      </c>
      <c r="L117" s="127">
        <f>IF(K117&lt;H117,0,K117*$G117)</f>
        <v>0</v>
      </c>
    </row>
    <row r="118" spans="2:12" ht="14.25" customHeight="1">
      <c r="B118" s="328"/>
      <c r="C118" s="323" t="s">
        <v>40</v>
      </c>
      <c r="D118" s="323"/>
      <c r="E118" s="323"/>
      <c r="F118" s="149">
        <v>0.1</v>
      </c>
      <c r="G118" s="123">
        <f>+F118*B115</f>
        <v>700</v>
      </c>
      <c r="H118" s="145">
        <v>0.75</v>
      </c>
      <c r="I118" s="145">
        <v>1</v>
      </c>
      <c r="J118" s="145"/>
      <c r="K118" s="126">
        <f>IFERROR(J118/I118,0)</f>
        <v>0</v>
      </c>
      <c r="L118" s="127">
        <f>IF(K118&lt;H118,0,K118*$G118)</f>
        <v>0</v>
      </c>
    </row>
    <row r="119" spans="2:12" ht="27" customHeight="1">
      <c r="E119" s="129" t="s">
        <v>27</v>
      </c>
      <c r="F119" s="157">
        <f>SUM(F115:F118)</f>
        <v>0.99999999999999989</v>
      </c>
      <c r="G119" s="131">
        <f>SUM(G115:G118)</f>
        <v>7000</v>
      </c>
      <c r="H119" s="139"/>
      <c r="J119" s="118"/>
      <c r="K119" s="132" t="s">
        <v>28</v>
      </c>
      <c r="L119" s="133">
        <f>SUM(L116:L118)</f>
        <v>0</v>
      </c>
    </row>
    <row r="120" spans="2:12" ht="14.25" customHeight="1">
      <c r="F120" s="136"/>
      <c r="G120" s="136"/>
    </row>
    <row r="121" spans="2:12" ht="18" customHeight="1">
      <c r="F121" s="136"/>
      <c r="G121" s="136"/>
      <c r="K121" s="137" t="s">
        <v>29</v>
      </c>
      <c r="L121" s="138">
        <f>+L119+L115</f>
        <v>4747.3472033455937</v>
      </c>
    </row>
    <row r="196" spans="15:18" ht="13.5" customHeight="1">
      <c r="O196" s="108">
        <v>3</v>
      </c>
      <c r="P196" s="108">
        <v>3.1</v>
      </c>
      <c r="Q196" s="108">
        <f>+P196-O196</f>
        <v>0.10000000000000009</v>
      </c>
      <c r="R196" s="108">
        <f>+Q196/P196</f>
        <v>3.2258064516129059E-2</v>
      </c>
    </row>
    <row r="200" spans="15:18" ht="13.5" customHeight="1">
      <c r="Q200" s="136">
        <f>2000*3*12</f>
        <v>72000</v>
      </c>
    </row>
    <row r="203" spans="15:18" ht="13.5" customHeight="1">
      <c r="Q203" s="108">
        <f>2000*12</f>
        <v>24000</v>
      </c>
    </row>
  </sheetData>
  <mergeCells count="58">
    <mergeCell ref="B115:B118"/>
    <mergeCell ref="C115:E115"/>
    <mergeCell ref="C116:E116"/>
    <mergeCell ref="C117:E117"/>
    <mergeCell ref="C118:E118"/>
    <mergeCell ref="C105:K105"/>
    <mergeCell ref="C107:D107"/>
    <mergeCell ref="B113:H113"/>
    <mergeCell ref="I113:L113"/>
    <mergeCell ref="C114:E114"/>
    <mergeCell ref="C84:K84"/>
    <mergeCell ref="B92:H92"/>
    <mergeCell ref="I92:L92"/>
    <mergeCell ref="C93:E93"/>
    <mergeCell ref="B94:B98"/>
    <mergeCell ref="C94:E94"/>
    <mergeCell ref="C95:E95"/>
    <mergeCell ref="C96:E96"/>
    <mergeCell ref="C97:E97"/>
    <mergeCell ref="C98:E98"/>
    <mergeCell ref="C66:K66"/>
    <mergeCell ref="B74:H74"/>
    <mergeCell ref="I74:L74"/>
    <mergeCell ref="C75:E75"/>
    <mergeCell ref="B76:B77"/>
    <mergeCell ref="C76:E76"/>
    <mergeCell ref="C77:E77"/>
    <mergeCell ref="C45:K45"/>
    <mergeCell ref="B53:H53"/>
    <mergeCell ref="I53:L53"/>
    <mergeCell ref="C54:E54"/>
    <mergeCell ref="B55:B59"/>
    <mergeCell ref="C55:E55"/>
    <mergeCell ref="C56:E56"/>
    <mergeCell ref="C57:E57"/>
    <mergeCell ref="C58:E58"/>
    <mergeCell ref="C59:E59"/>
    <mergeCell ref="C24:K24"/>
    <mergeCell ref="B32:H32"/>
    <mergeCell ref="I32:L32"/>
    <mergeCell ref="C33:E33"/>
    <mergeCell ref="B34:B38"/>
    <mergeCell ref="C34:E34"/>
    <mergeCell ref="C35:E35"/>
    <mergeCell ref="C36:E36"/>
    <mergeCell ref="C37:E37"/>
    <mergeCell ref="C38:E38"/>
    <mergeCell ref="B13:B17"/>
    <mergeCell ref="C13:E13"/>
    <mergeCell ref="C14:E14"/>
    <mergeCell ref="C15:E15"/>
    <mergeCell ref="C16:E16"/>
    <mergeCell ref="C17:E17"/>
    <mergeCell ref="C1:J1"/>
    <mergeCell ref="C3:K3"/>
    <mergeCell ref="B11:H11"/>
    <mergeCell ref="I11:L11"/>
    <mergeCell ref="C12:E12"/>
  </mergeCells>
  <conditionalFormatting sqref="F89">
    <cfRule type="iconSet" priority="2">
      <iconSet iconSet="3Arrows">
        <cfvo type="percent" val="0"/>
        <cfvo type="num" val="0"/>
        <cfvo type="num" val="0"/>
      </iconSet>
    </cfRule>
  </conditionalFormatting>
  <conditionalFormatting sqref="F88">
    <cfRule type="iconSet" priority="3">
      <iconSet iconSet="3Arrows">
        <cfvo type="percent" val="0"/>
        <cfvo type="num" val="0"/>
        <cfvo type="num" val="0"/>
      </iconSet>
    </cfRule>
  </conditionalFormatting>
  <conditionalFormatting sqref="F71">
    <cfRule type="iconSet" priority="4">
      <iconSet iconSet="3Arrows">
        <cfvo type="percent" val="0"/>
        <cfvo type="num" val="0"/>
        <cfvo type="num" val="0"/>
      </iconSet>
    </cfRule>
  </conditionalFormatting>
  <conditionalFormatting sqref="F70">
    <cfRule type="iconSet" priority="5">
      <iconSet iconSet="3Arrows">
        <cfvo type="percent" val="0"/>
        <cfvo type="num" val="0"/>
        <cfvo type="num" val="0"/>
      </iconSet>
    </cfRule>
  </conditionalFormatting>
  <conditionalFormatting sqref="F50">
    <cfRule type="iconSet" priority="6">
      <iconSet iconSet="3Arrows">
        <cfvo type="percent" val="0"/>
        <cfvo type="num" val="0"/>
        <cfvo type="num" val="0"/>
      </iconSet>
    </cfRule>
  </conditionalFormatting>
  <conditionalFormatting sqref="F49">
    <cfRule type="iconSet" priority="7">
      <iconSet iconSet="3Arrows">
        <cfvo type="percent" val="0"/>
        <cfvo type="num" val="0"/>
        <cfvo type="num" val="0"/>
      </iconSet>
    </cfRule>
  </conditionalFormatting>
  <conditionalFormatting sqref="F110">
    <cfRule type="iconSet" priority="8">
      <iconSet iconSet="3Arrows">
        <cfvo type="percent" val="0"/>
        <cfvo type="num" val="0"/>
        <cfvo type="num" val="0"/>
      </iconSet>
    </cfRule>
  </conditionalFormatting>
  <conditionalFormatting sqref="F109">
    <cfRule type="iconSet" priority="9">
      <iconSet iconSet="3Arrows">
        <cfvo type="percent" val="0"/>
        <cfvo type="num" val="0"/>
        <cfvo type="num" val="0"/>
      </iconSet>
    </cfRule>
  </conditionalFormatting>
  <conditionalFormatting sqref="F29">
    <cfRule type="iconSet" priority="10">
      <iconSet iconSet="3Arrows">
        <cfvo type="percent" val="0"/>
        <cfvo type="num" val="0"/>
        <cfvo type="num" val="0"/>
      </iconSet>
    </cfRule>
  </conditionalFormatting>
  <conditionalFormatting sqref="F28">
    <cfRule type="iconSet" priority="11">
      <iconSet iconSet="3Arrows">
        <cfvo type="percent" val="0"/>
        <cfvo type="num" val="0"/>
        <cfvo type="num" val="0"/>
      </iconSet>
    </cfRule>
  </conditionalFormatting>
  <conditionalFormatting sqref="F8:G8">
    <cfRule type="iconSet" priority="12">
      <iconSet iconSet="3Arrows">
        <cfvo type="percent" val="0"/>
        <cfvo type="num" val="0"/>
        <cfvo type="num" val="0"/>
      </iconSet>
    </cfRule>
  </conditionalFormatting>
  <conditionalFormatting sqref="F7">
    <cfRule type="iconSet" priority="13">
      <iconSet iconSet="3Arrows">
        <cfvo type="percent" val="0"/>
        <cfvo type="num" val="0"/>
        <cfvo type="num" val="0"/>
      </iconSet>
    </cfRule>
  </conditionalFormatting>
  <pageMargins left="0.23611111111111099" right="0.23611111111111099" top="0.74791666666666701" bottom="0.74791666666666701" header="0.511811023622047" footer="0.511811023622047"/>
  <pageSetup scale="70" orientation="landscape" horizontalDpi="300" verticalDpi="300"/>
  <rowBreaks count="2" manualBreakCount="2">
    <brk id="44" max="16383" man="1"/>
    <brk id="8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R203"/>
  <sheetViews>
    <sheetView showGridLines="0" zoomScaleNormal="100" workbookViewId="0">
      <selection activeCell="B82" sqref="B82"/>
    </sheetView>
  </sheetViews>
  <sheetFormatPr baseColWidth="10" defaultColWidth="11.453125" defaultRowHeight="18"/>
  <cols>
    <col min="1" max="1" width="2.81640625" style="108" customWidth="1"/>
    <col min="2" max="2" width="13.1796875" style="108" customWidth="1"/>
    <col min="3" max="3" width="17.81640625" style="108" customWidth="1"/>
    <col min="4" max="4" width="16.1796875" style="108" customWidth="1"/>
    <col min="5" max="5" width="19.54296875" style="108" customWidth="1"/>
    <col min="6" max="6" width="16.453125" style="108" customWidth="1"/>
    <col min="7" max="7" width="16.1796875" style="108" customWidth="1"/>
    <col min="8" max="8" width="22.1796875" style="108" customWidth="1"/>
    <col min="9" max="10" width="13.81640625" style="108" customWidth="1"/>
    <col min="11" max="11" width="20.1796875" style="108" customWidth="1"/>
    <col min="12" max="12" width="22" style="108" customWidth="1"/>
    <col min="13" max="13" width="7.81640625" style="108" customWidth="1"/>
    <col min="14" max="14" width="16.1796875" style="108" customWidth="1"/>
    <col min="15" max="15" width="2.54296875" style="108" customWidth="1"/>
    <col min="16" max="16" width="4.1796875" style="108" customWidth="1"/>
    <col min="17" max="17" width="13.81640625" style="108" customWidth="1"/>
    <col min="18" max="18" width="12.1796875" style="108" customWidth="1"/>
    <col min="19" max="16384" width="11.453125" style="108"/>
  </cols>
  <sheetData>
    <row r="1" spans="1:16" ht="24" customHeight="1">
      <c r="C1" s="314" t="s">
        <v>158</v>
      </c>
      <c r="D1" s="314"/>
      <c r="E1" s="314"/>
      <c r="F1" s="314"/>
      <c r="G1" s="314"/>
      <c r="H1" s="314"/>
      <c r="I1" s="314"/>
      <c r="J1" s="314"/>
    </row>
    <row r="2" spans="1:16" ht="14.25" customHeight="1"/>
    <row r="3" spans="1:16" ht="21" customHeight="1">
      <c r="A3" s="109"/>
      <c r="C3" s="315" t="s">
        <v>1</v>
      </c>
      <c r="D3" s="315"/>
      <c r="E3" s="315"/>
      <c r="F3" s="315"/>
      <c r="G3" s="315"/>
      <c r="H3" s="315"/>
      <c r="I3" s="315"/>
      <c r="J3" s="315"/>
      <c r="K3" s="315"/>
      <c r="P3" s="110"/>
    </row>
    <row r="4" spans="1:16" ht="13.5" customHeight="1">
      <c r="A4" s="109"/>
    </row>
    <row r="5" spans="1:16" ht="13.5" customHeight="1">
      <c r="A5" s="109"/>
    </row>
    <row r="6" spans="1:16" ht="14.25" customHeight="1">
      <c r="A6" s="109"/>
      <c r="C6" s="111" t="s">
        <v>6</v>
      </c>
      <c r="D6" s="112" t="s">
        <v>7</v>
      </c>
      <c r="E6" s="113" t="s">
        <v>3</v>
      </c>
      <c r="F6" s="113" t="s">
        <v>9</v>
      </c>
    </row>
    <row r="7" spans="1:16" ht="14.25" customHeight="1">
      <c r="A7" s="109"/>
      <c r="B7" s="114" t="s">
        <v>8</v>
      </c>
      <c r="C7" s="115"/>
      <c r="D7" s="115"/>
      <c r="E7" s="115"/>
      <c r="F7" s="116" t="e">
        <f>D7/C7-1</f>
        <v>#DIV/0!</v>
      </c>
    </row>
    <row r="8" spans="1:16" ht="14.25" customHeight="1">
      <c r="A8" s="109"/>
      <c r="B8" s="114" t="s">
        <v>49</v>
      </c>
      <c r="C8" s="117"/>
      <c r="D8" s="117"/>
      <c r="E8" s="117"/>
      <c r="F8" s="116" t="e">
        <f>D8/C8-1</f>
        <v>#DIV/0!</v>
      </c>
      <c r="G8" s="118"/>
    </row>
    <row r="9" spans="1:16" ht="13.5" customHeight="1">
      <c r="A9" s="109"/>
    </row>
    <row r="10" spans="1:16" ht="13.5" customHeight="1">
      <c r="A10" s="109"/>
    </row>
    <row r="11" spans="1:16" ht="15" customHeight="1">
      <c r="A11" s="109"/>
      <c r="B11" s="316" t="s">
        <v>12</v>
      </c>
      <c r="C11" s="316"/>
      <c r="D11" s="316"/>
      <c r="E11" s="316"/>
      <c r="F11" s="316"/>
      <c r="G11" s="316"/>
      <c r="H11" s="316"/>
      <c r="I11" s="317" t="s">
        <v>13</v>
      </c>
      <c r="J11" s="317"/>
      <c r="K11" s="317"/>
      <c r="L11" s="317"/>
    </row>
    <row r="12" spans="1:16" ht="14.25" customHeight="1">
      <c r="A12" s="109"/>
      <c r="B12" s="119" t="s">
        <v>14</v>
      </c>
      <c r="C12" s="318" t="s">
        <v>15</v>
      </c>
      <c r="D12" s="318"/>
      <c r="E12" s="318"/>
      <c r="F12" s="119" t="s">
        <v>16</v>
      </c>
      <c r="G12" s="119" t="s">
        <v>17</v>
      </c>
      <c r="H12" s="120" t="s">
        <v>21</v>
      </c>
      <c r="I12" s="121" t="s">
        <v>18</v>
      </c>
      <c r="J12" s="122" t="s">
        <v>19</v>
      </c>
      <c r="K12" s="122" t="s">
        <v>20</v>
      </c>
      <c r="L12" s="122" t="s">
        <v>14</v>
      </c>
    </row>
    <row r="13" spans="1:16" ht="14.25" customHeight="1">
      <c r="A13" s="109"/>
      <c r="B13" s="319">
        <v>11500</v>
      </c>
      <c r="C13" s="320" t="s">
        <v>22</v>
      </c>
      <c r="D13" s="320"/>
      <c r="E13" s="320"/>
      <c r="F13" s="116">
        <v>0.8</v>
      </c>
      <c r="G13" s="123">
        <f>B13*F13</f>
        <v>9200</v>
      </c>
      <c r="H13" s="124">
        <v>0.9</v>
      </c>
      <c r="I13" s="125">
        <f>C8</f>
        <v>0</v>
      </c>
      <c r="J13" s="125">
        <f>D8</f>
        <v>0</v>
      </c>
      <c r="K13" s="126">
        <f>IFERROR(J13/I13,0)</f>
        <v>0</v>
      </c>
      <c r="L13" s="127">
        <f>IF(K13&lt;H13,0,K13*$G13)</f>
        <v>0</v>
      </c>
    </row>
    <row r="14" spans="1:16" ht="14.25" customHeight="1">
      <c r="A14" s="109"/>
      <c r="B14" s="319"/>
      <c r="C14" s="320" t="s">
        <v>166</v>
      </c>
      <c r="D14" s="320"/>
      <c r="E14" s="320"/>
      <c r="F14" s="116">
        <v>0.1</v>
      </c>
      <c r="G14" s="123">
        <f>B$13*F$14</f>
        <v>1150</v>
      </c>
      <c r="H14" s="124">
        <v>0.7</v>
      </c>
      <c r="I14" s="116">
        <v>1</v>
      </c>
      <c r="J14" s="116"/>
      <c r="K14" s="116">
        <f>J14/I14</f>
        <v>0</v>
      </c>
      <c r="L14" s="127">
        <f>IF(K14&lt;H14,0,K14*$G14)</f>
        <v>0</v>
      </c>
    </row>
    <row r="15" spans="1:16" ht="14.25" customHeight="1">
      <c r="A15" s="109"/>
      <c r="B15" s="319"/>
      <c r="C15" s="320" t="s">
        <v>167</v>
      </c>
      <c r="D15" s="320"/>
      <c r="E15" s="320"/>
      <c r="F15" s="116">
        <v>0.1</v>
      </c>
      <c r="G15" s="123">
        <f>B$13*F$14</f>
        <v>1150</v>
      </c>
      <c r="H15" s="124">
        <v>0.5</v>
      </c>
      <c r="I15" s="116">
        <v>1</v>
      </c>
      <c r="J15" s="116"/>
      <c r="K15" s="116">
        <f>J15/I15</f>
        <v>0</v>
      </c>
      <c r="L15" s="127">
        <f>IF(K15&lt;H15,0,K15*$G15)</f>
        <v>0</v>
      </c>
    </row>
    <row r="16" spans="1:16" ht="13.5" customHeight="1">
      <c r="A16" s="109"/>
      <c r="B16" s="319"/>
      <c r="C16" s="320"/>
      <c r="D16" s="320"/>
      <c r="E16" s="320"/>
      <c r="F16" s="116"/>
      <c r="G16" s="123">
        <f>B13*F16</f>
        <v>0</v>
      </c>
      <c r="H16" s="124"/>
      <c r="I16" s="116">
        <v>1</v>
      </c>
      <c r="J16" s="116"/>
      <c r="K16" s="116">
        <f>J16/I16</f>
        <v>0</v>
      </c>
      <c r="L16" s="127">
        <f>IF(K16&lt;H16,0,K16*$G16)</f>
        <v>0</v>
      </c>
    </row>
    <row r="17" spans="1:16" ht="27" customHeight="1">
      <c r="A17" s="109"/>
      <c r="B17" s="128"/>
      <c r="E17" s="129" t="s">
        <v>27</v>
      </c>
      <c r="F17" s="130">
        <f>SUM(F13:F16)</f>
        <v>1</v>
      </c>
      <c r="G17" s="131">
        <f>SUM(G13:G16)</f>
        <v>11500</v>
      </c>
      <c r="K17" s="132" t="s">
        <v>28</v>
      </c>
      <c r="L17" s="133">
        <f>SUM(L14:L16)</f>
        <v>0</v>
      </c>
      <c r="N17" s="134"/>
      <c r="O17" s="135"/>
    </row>
    <row r="18" spans="1:16" ht="14.25" customHeight="1">
      <c r="A18" s="109"/>
      <c r="F18" s="136"/>
      <c r="G18" s="136"/>
      <c r="N18" s="134"/>
      <c r="O18" s="135"/>
    </row>
    <row r="19" spans="1:16" ht="18" customHeight="1">
      <c r="A19" s="109"/>
      <c r="F19" s="136"/>
      <c r="G19" s="136"/>
      <c r="K19" s="137" t="s">
        <v>29</v>
      </c>
      <c r="L19" s="138">
        <f>+L17+L13</f>
        <v>0</v>
      </c>
    </row>
    <row r="20" spans="1:16" ht="13.5" customHeight="1">
      <c r="A20" s="109"/>
      <c r="F20" s="139"/>
      <c r="G20" s="139"/>
    </row>
    <row r="21" spans="1:16" ht="13.5" customHeight="1">
      <c r="A21" s="109"/>
      <c r="F21" s="139"/>
      <c r="G21" s="139"/>
      <c r="H21" s="140"/>
    </row>
    <row r="22" spans="1:16" ht="14.25" customHeight="1">
      <c r="A22" s="109"/>
      <c r="F22" s="139"/>
      <c r="G22" s="139"/>
      <c r="H22" s="140"/>
    </row>
    <row r="23" spans="1:16" ht="21" customHeight="1">
      <c r="C23" s="321" t="s">
        <v>30</v>
      </c>
      <c r="D23" s="321"/>
      <c r="E23" s="321"/>
      <c r="F23" s="321"/>
      <c r="G23" s="321"/>
      <c r="H23" s="321"/>
      <c r="I23" s="321"/>
      <c r="J23" s="321"/>
      <c r="K23" s="321"/>
    </row>
    <row r="24" spans="1:16" ht="13.5" customHeight="1">
      <c r="A24" s="109"/>
      <c r="P24" s="110"/>
    </row>
    <row r="26" spans="1:16" ht="14.25" customHeight="1">
      <c r="A26" s="109"/>
      <c r="C26" s="111" t="s">
        <v>6</v>
      </c>
      <c r="D26" s="112" t="s">
        <v>7</v>
      </c>
      <c r="E26" s="113" t="s">
        <v>3</v>
      </c>
      <c r="F26" s="113" t="s">
        <v>9</v>
      </c>
    </row>
    <row r="27" spans="1:16" ht="14.25" customHeight="1">
      <c r="A27" s="109"/>
      <c r="B27" s="114" t="s">
        <v>8</v>
      </c>
      <c r="C27" s="115"/>
      <c r="D27" s="115"/>
      <c r="E27" s="115"/>
      <c r="F27" s="116" t="e">
        <f>D27/C27-1</f>
        <v>#DIV/0!</v>
      </c>
    </row>
    <row r="28" spans="1:16" ht="14.25" customHeight="1">
      <c r="A28" s="109"/>
      <c r="B28" s="114" t="s">
        <v>49</v>
      </c>
      <c r="C28" s="117"/>
      <c r="D28" s="117"/>
      <c r="E28" s="117"/>
      <c r="F28" s="116" t="e">
        <f>D28/C28-1</f>
        <v>#DIV/0!</v>
      </c>
    </row>
    <row r="29" spans="1:16" ht="13.5" customHeight="1">
      <c r="A29" s="109"/>
    </row>
    <row r="30" spans="1:16" ht="13.5" customHeight="1">
      <c r="A30" s="109"/>
    </row>
    <row r="31" spans="1:16" ht="15" customHeight="1">
      <c r="A31" s="109"/>
      <c r="B31" s="316" t="s">
        <v>12</v>
      </c>
      <c r="C31" s="316"/>
      <c r="D31" s="316"/>
      <c r="E31" s="316"/>
      <c r="F31" s="316"/>
      <c r="G31" s="316"/>
      <c r="H31" s="316"/>
      <c r="I31" s="317" t="s">
        <v>13</v>
      </c>
      <c r="J31" s="317"/>
      <c r="K31" s="317"/>
      <c r="L31" s="317"/>
    </row>
    <row r="32" spans="1:16" ht="14.25" customHeight="1">
      <c r="A32" s="109"/>
      <c r="B32" s="119" t="s">
        <v>14</v>
      </c>
      <c r="C32" s="318" t="s">
        <v>15</v>
      </c>
      <c r="D32" s="318"/>
      <c r="E32" s="318"/>
      <c r="F32" s="119" t="s">
        <v>16</v>
      </c>
      <c r="G32" s="119" t="s">
        <v>17</v>
      </c>
      <c r="H32" s="120" t="s">
        <v>21</v>
      </c>
      <c r="I32" s="121" t="s">
        <v>18</v>
      </c>
      <c r="J32" s="122" t="s">
        <v>19</v>
      </c>
      <c r="K32" s="122" t="s">
        <v>20</v>
      </c>
      <c r="L32" s="122" t="s">
        <v>14</v>
      </c>
    </row>
    <row r="33" spans="1:15" ht="30" customHeight="1">
      <c r="A33" s="109"/>
      <c r="B33" s="322">
        <v>10500</v>
      </c>
      <c r="C33" s="320" t="s">
        <v>22</v>
      </c>
      <c r="D33" s="320"/>
      <c r="E33" s="320"/>
      <c r="F33" s="142">
        <v>0.7</v>
      </c>
      <c r="G33" s="123"/>
      <c r="H33" s="144">
        <v>0.8</v>
      </c>
      <c r="I33" s="141">
        <f>C28</f>
        <v>0</v>
      </c>
      <c r="J33" s="141">
        <f>D28</f>
        <v>0</v>
      </c>
      <c r="K33" s="145">
        <f>IFERROR(J33/I33,0)</f>
        <v>0</v>
      </c>
      <c r="L33" s="127">
        <f>IF(K33&lt;H33,0,K33*$G33)</f>
        <v>0</v>
      </c>
    </row>
    <row r="34" spans="1:15" ht="14.25" customHeight="1">
      <c r="A34" s="109"/>
      <c r="B34" s="322"/>
      <c r="C34" s="320" t="s">
        <v>164</v>
      </c>
      <c r="D34" s="320"/>
      <c r="E34" s="320"/>
      <c r="F34" s="142">
        <v>0.1</v>
      </c>
      <c r="G34" s="143"/>
      <c r="H34" s="144">
        <v>0.5</v>
      </c>
      <c r="I34" s="116">
        <v>1</v>
      </c>
      <c r="J34" s="141"/>
      <c r="K34" s="145">
        <f>IFERROR(J34/I34,0)</f>
        <v>0</v>
      </c>
      <c r="L34" s="127">
        <f>IF(K34&lt;H34,0,K34*$G34)</f>
        <v>0</v>
      </c>
    </row>
    <row r="35" spans="1:15" ht="14.25" customHeight="1">
      <c r="A35" s="109"/>
      <c r="B35" s="322"/>
      <c r="C35" s="320" t="s">
        <v>162</v>
      </c>
      <c r="D35" s="320"/>
      <c r="E35" s="320"/>
      <c r="F35" s="142">
        <v>0.1</v>
      </c>
      <c r="G35" s="143"/>
      <c r="H35" s="144">
        <v>0.5</v>
      </c>
      <c r="I35" s="116">
        <v>1</v>
      </c>
      <c r="J35" s="116"/>
      <c r="K35" s="145">
        <f>IFERROR(J35/I35,0)</f>
        <v>0</v>
      </c>
      <c r="L35" s="127">
        <f>IF(K35&lt;H35,0,K35*$G35)</f>
        <v>0</v>
      </c>
    </row>
    <row r="36" spans="1:15" ht="14.25" customHeight="1">
      <c r="A36" s="109"/>
      <c r="B36" s="322"/>
      <c r="C36" s="320" t="s">
        <v>167</v>
      </c>
      <c r="D36" s="320"/>
      <c r="E36" s="320"/>
      <c r="F36" s="142">
        <v>0.1</v>
      </c>
      <c r="G36" s="143"/>
      <c r="H36" s="144">
        <v>0</v>
      </c>
      <c r="I36" s="116">
        <v>1</v>
      </c>
      <c r="J36" s="116"/>
      <c r="K36" s="145">
        <f>IFERROR(J36/I36,0)</f>
        <v>0</v>
      </c>
      <c r="L36" s="127">
        <f>IF(K36&lt;H36,0,K36*$G36)</f>
        <v>0</v>
      </c>
    </row>
    <row r="37" spans="1:15" ht="13.5" customHeight="1">
      <c r="A37" s="109"/>
      <c r="B37" s="322"/>
      <c r="C37" s="320"/>
      <c r="D37" s="320"/>
      <c r="E37" s="320"/>
      <c r="F37" s="142"/>
      <c r="G37" s="143"/>
      <c r="H37" s="144">
        <v>0</v>
      </c>
      <c r="I37" s="116">
        <v>1</v>
      </c>
      <c r="J37" s="116"/>
      <c r="K37" s="145">
        <f>IFERROR(J37/I37,0)</f>
        <v>0</v>
      </c>
      <c r="L37" s="127">
        <f>IF(K37&lt;H37,0,K37*$G37)</f>
        <v>0</v>
      </c>
    </row>
    <row r="38" spans="1:15" ht="27" customHeight="1">
      <c r="A38" s="109"/>
      <c r="B38" s="128"/>
      <c r="E38" s="130" t="s">
        <v>27</v>
      </c>
      <c r="F38" s="130">
        <f>SUM(F33:F37)</f>
        <v>0.99999999999999989</v>
      </c>
      <c r="G38" s="146">
        <f>SUM(G32:G37)</f>
        <v>0</v>
      </c>
      <c r="K38" s="132" t="s">
        <v>28</v>
      </c>
      <c r="L38" s="133">
        <f>SUM(L35:L35)</f>
        <v>0</v>
      </c>
      <c r="N38" s="134"/>
      <c r="O38" s="135"/>
    </row>
    <row r="39" spans="1:15" ht="14.25" customHeight="1">
      <c r="A39" s="109"/>
      <c r="F39" s="136"/>
      <c r="G39" s="136"/>
      <c r="N39" s="134"/>
      <c r="O39" s="135"/>
    </row>
    <row r="40" spans="1:15" ht="18" customHeight="1">
      <c r="A40" s="109"/>
      <c r="F40" s="136"/>
      <c r="G40" s="136"/>
      <c r="K40" s="137" t="s">
        <v>29</v>
      </c>
      <c r="L40" s="138">
        <f>+L38+L33</f>
        <v>0</v>
      </c>
    </row>
    <row r="41" spans="1:15" ht="13.5" customHeight="1">
      <c r="F41" s="136"/>
      <c r="G41" s="136"/>
      <c r="H41" s="140"/>
    </row>
    <row r="42" spans="1:15" ht="13.5" customHeight="1">
      <c r="F42" s="136"/>
      <c r="G42" s="136"/>
    </row>
    <row r="43" spans="1:15" ht="14.25" customHeight="1"/>
    <row r="44" spans="1:15" ht="21" customHeight="1">
      <c r="C44" s="321" t="s">
        <v>41</v>
      </c>
      <c r="D44" s="321"/>
      <c r="E44" s="321"/>
      <c r="F44" s="321"/>
      <c r="G44" s="321"/>
      <c r="H44" s="321"/>
      <c r="I44" s="321"/>
      <c r="J44" s="321"/>
      <c r="K44" s="321"/>
    </row>
    <row r="47" spans="1:15" ht="14.25" customHeight="1">
      <c r="C47" s="111" t="s">
        <v>6</v>
      </c>
      <c r="D47" s="112" t="s">
        <v>7</v>
      </c>
      <c r="E47" s="113" t="s">
        <v>8</v>
      </c>
      <c r="F47" s="113" t="s">
        <v>9</v>
      </c>
    </row>
    <row r="48" spans="1:15" ht="14.25" customHeight="1">
      <c r="B48" s="114" t="s">
        <v>8</v>
      </c>
      <c r="C48" s="147">
        <v>22853.031999999999</v>
      </c>
      <c r="D48" s="147">
        <v>32695.298999999999</v>
      </c>
      <c r="E48" s="147">
        <f>D48-C48</f>
        <v>9842.2669999999998</v>
      </c>
      <c r="F48" s="116">
        <f>D48/C48-1</f>
        <v>0.43067663844342396</v>
      </c>
    </row>
    <row r="49" spans="2:15" ht="14.25" customHeight="1">
      <c r="B49" s="114" t="s">
        <v>49</v>
      </c>
      <c r="C49" s="148">
        <v>1374179.2871999999</v>
      </c>
      <c r="D49" s="148">
        <v>1550018.11</v>
      </c>
      <c r="E49" s="148">
        <f>D49-C49</f>
        <v>175838.8228000002</v>
      </c>
      <c r="F49" s="116">
        <f>D49/C49-1</f>
        <v>0.12795915674022851</v>
      </c>
    </row>
    <row r="52" spans="2:15" ht="15" customHeight="1">
      <c r="B52" s="316" t="s">
        <v>12</v>
      </c>
      <c r="C52" s="316"/>
      <c r="D52" s="316"/>
      <c r="E52" s="316"/>
      <c r="F52" s="316"/>
      <c r="G52" s="316"/>
      <c r="H52" s="316"/>
      <c r="I52" s="317" t="s">
        <v>13</v>
      </c>
      <c r="J52" s="317"/>
      <c r="K52" s="317"/>
      <c r="L52" s="317"/>
    </row>
    <row r="53" spans="2:15" ht="14.25" customHeight="1">
      <c r="B53" s="119" t="s">
        <v>14</v>
      </c>
      <c r="C53" s="318" t="s">
        <v>15</v>
      </c>
      <c r="D53" s="318"/>
      <c r="E53" s="318"/>
      <c r="F53" s="119" t="s">
        <v>16</v>
      </c>
      <c r="G53" s="119" t="s">
        <v>17</v>
      </c>
      <c r="H53" s="120" t="s">
        <v>21</v>
      </c>
      <c r="I53" s="121" t="s">
        <v>18</v>
      </c>
      <c r="J53" s="122" t="s">
        <v>19</v>
      </c>
      <c r="K53" s="122" t="s">
        <v>20</v>
      </c>
      <c r="L53" s="122" t="s">
        <v>14</v>
      </c>
    </row>
    <row r="54" spans="2:15" ht="14.25" customHeight="1">
      <c r="B54" s="319">
        <v>10000</v>
      </c>
      <c r="C54" s="323" t="s">
        <v>22</v>
      </c>
      <c r="D54" s="323"/>
      <c r="E54" s="323"/>
      <c r="F54" s="149">
        <v>0.7</v>
      </c>
      <c r="G54" s="123">
        <f>+F54*B54</f>
        <v>7000</v>
      </c>
      <c r="H54" s="144">
        <v>0.9</v>
      </c>
      <c r="I54" s="125">
        <f>C49</f>
        <v>1374179.2871999999</v>
      </c>
      <c r="J54" s="141">
        <f>D49</f>
        <v>1550018.11</v>
      </c>
      <c r="K54" s="126">
        <f>IFERROR(J54/I54,0)</f>
        <v>1.1279591567402285</v>
      </c>
      <c r="L54" s="127">
        <f>IF(K54&lt;H54,0,K54*$G54)</f>
        <v>7895.7140971815998</v>
      </c>
    </row>
    <row r="55" spans="2:15" ht="14.25" customHeight="1">
      <c r="B55" s="319"/>
      <c r="C55" s="323" t="s">
        <v>168</v>
      </c>
      <c r="D55" s="323"/>
      <c r="E55" s="323"/>
      <c r="F55" s="149">
        <v>0.08</v>
      </c>
      <c r="G55" s="123">
        <f>B54*F55</f>
        <v>800</v>
      </c>
      <c r="H55" s="124">
        <v>0.8</v>
      </c>
      <c r="I55" s="145">
        <v>1</v>
      </c>
      <c r="J55" s="150">
        <v>0</v>
      </c>
      <c r="K55" s="145">
        <v>0.5</v>
      </c>
      <c r="L55" s="127">
        <f>IF(K55&lt;H55,0,K55*$G55)</f>
        <v>0</v>
      </c>
      <c r="O55" s="132"/>
    </row>
    <row r="56" spans="2:15" ht="14.25" customHeight="1">
      <c r="B56" s="319"/>
      <c r="C56" s="320" t="s">
        <v>162</v>
      </c>
      <c r="D56" s="320"/>
      <c r="E56" s="320"/>
      <c r="F56" s="149">
        <v>0.1</v>
      </c>
      <c r="G56" s="123">
        <f>+F56*B54</f>
        <v>1000</v>
      </c>
      <c r="H56" s="144">
        <v>0.8</v>
      </c>
      <c r="I56" s="145">
        <v>1</v>
      </c>
      <c r="J56" s="145"/>
      <c r="K56" s="126">
        <v>0.5</v>
      </c>
      <c r="L56" s="127">
        <f>IF(K56&lt;H56,0,K56*$G56)</f>
        <v>0</v>
      </c>
    </row>
    <row r="57" spans="2:15" ht="27.75" customHeight="1">
      <c r="B57" s="319"/>
      <c r="C57" s="320" t="s">
        <v>163</v>
      </c>
      <c r="D57" s="320"/>
      <c r="E57" s="320"/>
      <c r="F57" s="149">
        <v>0.12</v>
      </c>
      <c r="G57" s="123">
        <f>+F57*B54</f>
        <v>1200</v>
      </c>
      <c r="H57" s="144">
        <v>1</v>
      </c>
      <c r="I57" s="145">
        <v>1</v>
      </c>
      <c r="J57" s="145"/>
      <c r="K57" s="126">
        <f>IFERROR(J57/I57,0)</f>
        <v>0</v>
      </c>
      <c r="L57" s="127">
        <f>IF(K57&lt;H57,0,K57*$G57)</f>
        <v>0</v>
      </c>
    </row>
    <row r="58" spans="2:15" ht="13.5" customHeight="1">
      <c r="B58" s="319"/>
      <c r="C58" s="323"/>
      <c r="D58" s="323"/>
      <c r="E58" s="323"/>
      <c r="F58" s="151"/>
      <c r="G58" s="123">
        <f>+F58*B54</f>
        <v>0</v>
      </c>
      <c r="H58" s="144">
        <v>1</v>
      </c>
      <c r="I58" s="145">
        <v>1</v>
      </c>
      <c r="J58" s="145"/>
      <c r="K58" s="126">
        <f>IFERROR(J58/I58,0)</f>
        <v>0</v>
      </c>
      <c r="L58" s="127">
        <f>IF(K58&lt;H58,0,K58*$G58)</f>
        <v>0</v>
      </c>
    </row>
    <row r="59" spans="2:15" ht="27" customHeight="1">
      <c r="B59" s="128"/>
      <c r="E59" s="129" t="s">
        <v>27</v>
      </c>
      <c r="F59" s="130">
        <f>SUM(F54:F58)</f>
        <v>0.99999999999999989</v>
      </c>
      <c r="G59" s="131">
        <f>SUM(G54:G58)</f>
        <v>10000</v>
      </c>
      <c r="H59" s="139"/>
      <c r="K59" s="132" t="s">
        <v>28</v>
      </c>
      <c r="L59" s="133">
        <f>SUM(L55:L58)</f>
        <v>0</v>
      </c>
      <c r="N59" s="152"/>
    </row>
    <row r="60" spans="2:15" ht="14.25" customHeight="1">
      <c r="F60" s="136"/>
      <c r="G60" s="136"/>
    </row>
    <row r="61" spans="2:15" ht="18" customHeight="1">
      <c r="F61" s="136"/>
      <c r="G61" s="136"/>
      <c r="K61" s="137" t="s">
        <v>29</v>
      </c>
      <c r="L61" s="138">
        <f>+L59+L54</f>
        <v>7895.7140971815998</v>
      </c>
    </row>
    <row r="62" spans="2:15" ht="13.5" customHeight="1">
      <c r="F62" s="136"/>
      <c r="G62" s="136"/>
    </row>
    <row r="64" spans="2:15" ht="14.25" customHeight="1"/>
    <row r="65" spans="1:14" ht="21" customHeight="1">
      <c r="C65" s="321" t="s">
        <v>47</v>
      </c>
      <c r="D65" s="321"/>
      <c r="E65" s="321"/>
      <c r="F65" s="321"/>
      <c r="G65" s="321"/>
      <c r="H65" s="321"/>
      <c r="I65" s="321"/>
      <c r="J65" s="321"/>
      <c r="K65" s="321"/>
    </row>
    <row r="68" spans="1:14" ht="14.25" customHeight="1">
      <c r="A68" s="109"/>
      <c r="C68" s="111" t="s">
        <v>6</v>
      </c>
      <c r="D68" s="112" t="s">
        <v>7</v>
      </c>
      <c r="E68" s="113" t="s">
        <v>8</v>
      </c>
      <c r="F68" s="113" t="s">
        <v>9</v>
      </c>
    </row>
    <row r="69" spans="1:14" ht="14.25" customHeight="1">
      <c r="B69" s="114" t="s">
        <v>8</v>
      </c>
      <c r="C69" s="115"/>
      <c r="D69" s="115"/>
      <c r="E69" s="115"/>
      <c r="F69" s="116" t="e">
        <f>D69/C69-1</f>
        <v>#DIV/0!</v>
      </c>
    </row>
    <row r="70" spans="1:14" ht="14.25" customHeight="1">
      <c r="B70" s="114" t="s">
        <v>49</v>
      </c>
      <c r="C70" s="117"/>
      <c r="D70" s="117"/>
      <c r="E70" s="117"/>
      <c r="F70" s="116" t="e">
        <f>D70/C70-1</f>
        <v>#DIV/0!</v>
      </c>
    </row>
    <row r="73" spans="1:14" ht="15" customHeight="1">
      <c r="B73" s="316" t="s">
        <v>12</v>
      </c>
      <c r="C73" s="316"/>
      <c r="D73" s="316"/>
      <c r="E73" s="316"/>
      <c r="F73" s="316"/>
      <c r="G73" s="316"/>
      <c r="H73" s="316"/>
      <c r="I73" s="317" t="s">
        <v>13</v>
      </c>
      <c r="J73" s="317"/>
      <c r="K73" s="317"/>
      <c r="L73" s="317"/>
    </row>
    <row r="74" spans="1:14" ht="14.25" customHeight="1">
      <c r="B74" s="119" t="s">
        <v>14</v>
      </c>
      <c r="C74" s="318" t="s">
        <v>15</v>
      </c>
      <c r="D74" s="318"/>
      <c r="E74" s="318"/>
      <c r="F74" s="119" t="s">
        <v>16</v>
      </c>
      <c r="G74" s="119" t="s">
        <v>17</v>
      </c>
      <c r="H74" s="120" t="s">
        <v>21</v>
      </c>
      <c r="I74" s="121" t="s">
        <v>18</v>
      </c>
      <c r="J74" s="122" t="s">
        <v>19</v>
      </c>
      <c r="K74" s="122" t="s">
        <v>20</v>
      </c>
      <c r="L74" s="122" t="s">
        <v>14</v>
      </c>
    </row>
    <row r="75" spans="1:14" ht="14.25" customHeight="1">
      <c r="B75" s="319">
        <v>4000</v>
      </c>
      <c r="C75" s="324" t="s">
        <v>22</v>
      </c>
      <c r="D75" s="324"/>
      <c r="E75" s="324"/>
      <c r="F75" s="149">
        <v>0.75</v>
      </c>
      <c r="G75" s="123">
        <f>+F75*B75</f>
        <v>3000</v>
      </c>
      <c r="H75" s="145">
        <v>0.8</v>
      </c>
      <c r="I75" s="125">
        <f>C70</f>
        <v>0</v>
      </c>
      <c r="J75" s="141">
        <f>D70</f>
        <v>0</v>
      </c>
      <c r="K75" s="126">
        <f>IFERROR(J75/I75,0)</f>
        <v>0</v>
      </c>
      <c r="L75" s="127">
        <f>IF(K75&lt;H75,0,K75*$G75)</f>
        <v>0</v>
      </c>
    </row>
    <row r="76" spans="1:14" ht="27.75" customHeight="1">
      <c r="B76" s="319"/>
      <c r="C76" s="324" t="s">
        <v>169</v>
      </c>
      <c r="D76" s="324"/>
      <c r="E76" s="324"/>
      <c r="F76" s="149">
        <v>0.1</v>
      </c>
      <c r="G76" s="123">
        <f>+F76*B75</f>
        <v>400</v>
      </c>
      <c r="H76" s="145">
        <v>0.7</v>
      </c>
      <c r="I76" s="125"/>
      <c r="J76" s="141"/>
      <c r="K76" s="126"/>
      <c r="L76" s="127"/>
    </row>
    <row r="77" spans="1:14" ht="14.25" customHeight="1">
      <c r="B77" s="319"/>
      <c r="C77" s="320" t="s">
        <v>170</v>
      </c>
      <c r="D77" s="320"/>
      <c r="E77" s="320"/>
      <c r="F77" s="151">
        <v>0.15</v>
      </c>
      <c r="G77" s="123">
        <f>+F77*B75</f>
        <v>600</v>
      </c>
      <c r="H77" s="145">
        <v>0.7</v>
      </c>
      <c r="I77" s="145">
        <v>1</v>
      </c>
      <c r="J77" s="145"/>
      <c r="K77" s="126">
        <f>IFERROR(J77/I77,0)</f>
        <v>0</v>
      </c>
      <c r="L77" s="127">
        <f>IF(K77&lt;H77,0,K77*$G77)</f>
        <v>0</v>
      </c>
    </row>
    <row r="78" spans="1:14" ht="27" customHeight="1">
      <c r="B78" s="128"/>
      <c r="E78" s="129" t="s">
        <v>27</v>
      </c>
      <c r="F78" s="130">
        <f>SUM(F75:F77)</f>
        <v>1</v>
      </c>
      <c r="G78" s="131">
        <f>SUM(G75:G77)</f>
        <v>4000</v>
      </c>
      <c r="H78" s="139"/>
      <c r="K78" s="132" t="s">
        <v>28</v>
      </c>
      <c r="L78" s="133">
        <f>SUM(L77:L77)</f>
        <v>0</v>
      </c>
      <c r="N78" s="152"/>
    </row>
    <row r="79" spans="1:14" ht="14.25" customHeight="1">
      <c r="F79" s="136"/>
      <c r="G79" s="136"/>
    </row>
    <row r="80" spans="1:14" ht="18" customHeight="1">
      <c r="F80" s="136"/>
      <c r="G80" s="136"/>
      <c r="K80" s="137" t="s">
        <v>29</v>
      </c>
      <c r="L80" s="138">
        <f>+L78+L75</f>
        <v>0</v>
      </c>
    </row>
    <row r="81" spans="1:12" ht="13.5" customHeight="1">
      <c r="F81" s="136"/>
      <c r="G81" s="136"/>
    </row>
    <row r="83" spans="1:12" ht="14.25" customHeight="1"/>
    <row r="84" spans="1:12" ht="21" customHeight="1">
      <c r="C84" s="321" t="s">
        <v>157</v>
      </c>
      <c r="D84" s="321"/>
      <c r="E84" s="321"/>
      <c r="F84" s="321"/>
      <c r="G84" s="321"/>
      <c r="H84" s="321"/>
      <c r="I84" s="321"/>
      <c r="J84" s="321"/>
      <c r="K84" s="321"/>
    </row>
    <row r="87" spans="1:12" ht="14.25" customHeight="1">
      <c r="A87" s="109"/>
      <c r="C87" s="111" t="s">
        <v>6</v>
      </c>
      <c r="D87" s="112" t="s">
        <v>7</v>
      </c>
      <c r="E87" s="113" t="s">
        <v>8</v>
      </c>
      <c r="F87" s="113" t="s">
        <v>9</v>
      </c>
    </row>
    <row r="88" spans="1:12" ht="14.25" customHeight="1">
      <c r="B88" s="114" t="s">
        <v>8</v>
      </c>
      <c r="C88" s="115">
        <v>72301.279999999999</v>
      </c>
      <c r="D88" s="115">
        <v>72233.240000000005</v>
      </c>
      <c r="E88" s="115">
        <f>D88-C88</f>
        <v>-68.039999999993597</v>
      </c>
      <c r="F88" s="116">
        <f>D88/C88-1</f>
        <v>-9.4106217759892807E-4</v>
      </c>
    </row>
    <row r="89" spans="1:12" ht="14.25" customHeight="1">
      <c r="B89" s="114" t="s">
        <v>49</v>
      </c>
      <c r="C89" s="117">
        <v>1660857.561</v>
      </c>
      <c r="D89" s="117">
        <v>1836426.52</v>
      </c>
      <c r="E89" s="117">
        <f>D89-C89</f>
        <v>175568.95900000003</v>
      </c>
      <c r="F89" s="116">
        <f>D89/C89-1</f>
        <v>0.1057098231195035</v>
      </c>
    </row>
    <row r="92" spans="1:12" ht="15" customHeight="1">
      <c r="B92" s="316" t="s">
        <v>12</v>
      </c>
      <c r="C92" s="316"/>
      <c r="D92" s="316"/>
      <c r="E92" s="316"/>
      <c r="F92" s="316"/>
      <c r="G92" s="316"/>
      <c r="H92" s="316"/>
      <c r="I92" s="317" t="s">
        <v>13</v>
      </c>
      <c r="J92" s="317"/>
      <c r="K92" s="317"/>
      <c r="L92" s="317"/>
    </row>
    <row r="93" spans="1:12" ht="14.25" customHeight="1">
      <c r="B93" s="119" t="s">
        <v>14</v>
      </c>
      <c r="C93" s="318" t="s">
        <v>15</v>
      </c>
      <c r="D93" s="318"/>
      <c r="E93" s="318"/>
      <c r="F93" s="119" t="s">
        <v>16</v>
      </c>
      <c r="G93" s="119" t="s">
        <v>17</v>
      </c>
      <c r="H93" s="120" t="s">
        <v>21</v>
      </c>
      <c r="I93" s="121" t="s">
        <v>18</v>
      </c>
      <c r="J93" s="122" t="s">
        <v>19</v>
      </c>
      <c r="K93" s="122" t="s">
        <v>20</v>
      </c>
      <c r="L93" s="122" t="s">
        <v>14</v>
      </c>
    </row>
    <row r="94" spans="1:12" ht="14.25" customHeight="1">
      <c r="B94" s="319"/>
      <c r="C94" s="325" t="s">
        <v>22</v>
      </c>
      <c r="D94" s="325"/>
      <c r="E94" s="325"/>
      <c r="F94" s="149">
        <v>1</v>
      </c>
      <c r="G94" s="123">
        <f>+F94*B94</f>
        <v>0</v>
      </c>
      <c r="H94" s="145">
        <v>0.8</v>
      </c>
      <c r="I94" s="125">
        <f>C89</f>
        <v>1660857.561</v>
      </c>
      <c r="J94" s="141">
        <f>D89</f>
        <v>1836426.52</v>
      </c>
      <c r="K94" s="126">
        <f>IFERROR(J94/I94,0)</f>
        <v>1.1057098231195035</v>
      </c>
      <c r="L94" s="127">
        <f>IF(K94&lt;H94,0,K94*$G94)</f>
        <v>0</v>
      </c>
    </row>
    <row r="95" spans="1:12" ht="14.25" customHeight="1">
      <c r="B95" s="319"/>
      <c r="C95" s="326"/>
      <c r="D95" s="326"/>
      <c r="E95" s="326"/>
      <c r="F95" s="149"/>
      <c r="G95" s="123">
        <f>B94*F95</f>
        <v>0</v>
      </c>
      <c r="H95" s="153">
        <v>0.8</v>
      </c>
      <c r="I95" s="145">
        <v>1</v>
      </c>
      <c r="J95" s="150"/>
      <c r="K95" s="145">
        <f>J95/I95</f>
        <v>0</v>
      </c>
      <c r="L95" s="127">
        <f>IF(K95&lt;H95,0,K95*$G95)</f>
        <v>0</v>
      </c>
    </row>
    <row r="96" spans="1:12" ht="13.5" customHeight="1">
      <c r="B96" s="319"/>
      <c r="C96" s="326"/>
      <c r="D96" s="326"/>
      <c r="E96" s="326"/>
      <c r="F96" s="149"/>
      <c r="G96" s="123">
        <f>+F96*B94</f>
        <v>0</v>
      </c>
      <c r="H96" s="145">
        <v>1</v>
      </c>
      <c r="I96" s="145">
        <v>1</v>
      </c>
      <c r="J96" s="145"/>
      <c r="K96" s="126">
        <f>IFERROR(J96/I96,0)</f>
        <v>0</v>
      </c>
      <c r="L96" s="127">
        <f>IF(K96&lt;H96,0,K96*$G96)</f>
        <v>0</v>
      </c>
    </row>
    <row r="97" spans="2:14" ht="13.5" customHeight="1">
      <c r="B97" s="319"/>
      <c r="C97" s="326"/>
      <c r="D97" s="326"/>
      <c r="E97" s="326"/>
      <c r="F97" s="149"/>
      <c r="G97" s="123">
        <f>+F97*B94</f>
        <v>0</v>
      </c>
      <c r="H97" s="145">
        <v>1</v>
      </c>
      <c r="I97" s="145">
        <v>1</v>
      </c>
      <c r="J97" s="145"/>
      <c r="K97" s="126">
        <f>IFERROR(J97/I97,0)</f>
        <v>0</v>
      </c>
      <c r="L97" s="127">
        <f>IF(K97&lt;H97,0,K97*$G97)</f>
        <v>0</v>
      </c>
    </row>
    <row r="98" spans="2:14" ht="13.5" customHeight="1">
      <c r="B98" s="319"/>
      <c r="C98" s="326"/>
      <c r="D98" s="326"/>
      <c r="E98" s="326"/>
      <c r="F98" s="151"/>
      <c r="G98" s="123">
        <f>+F98*B94</f>
        <v>0</v>
      </c>
      <c r="H98" s="145">
        <v>1</v>
      </c>
      <c r="I98" s="145">
        <v>1</v>
      </c>
      <c r="J98" s="145"/>
      <c r="K98" s="126">
        <f>IFERROR(J98/I98,0)</f>
        <v>0</v>
      </c>
      <c r="L98" s="127">
        <f>IF(K98&lt;H98,0,K98*$G98)</f>
        <v>0</v>
      </c>
    </row>
    <row r="99" spans="2:14" ht="27" customHeight="1">
      <c r="B99" s="128"/>
      <c r="E99" s="129" t="s">
        <v>27</v>
      </c>
      <c r="F99" s="130">
        <f>SUM(F94:F98)</f>
        <v>1</v>
      </c>
      <c r="G99" s="131">
        <f>SUM(G94:G98)</f>
        <v>0</v>
      </c>
      <c r="H99" s="139"/>
      <c r="K99" s="132" t="s">
        <v>28</v>
      </c>
      <c r="L99" s="133">
        <f>SUM(L95:L98)</f>
        <v>0</v>
      </c>
      <c r="N99" s="152"/>
    </row>
    <row r="100" spans="2:14" ht="14.25" customHeight="1">
      <c r="F100" s="136"/>
      <c r="G100" s="136"/>
    </row>
    <row r="101" spans="2:14" ht="18" customHeight="1">
      <c r="F101" s="136"/>
      <c r="G101" s="136"/>
      <c r="K101" s="137" t="s">
        <v>29</v>
      </c>
      <c r="L101" s="138">
        <f>+L99+L94</f>
        <v>0</v>
      </c>
    </row>
    <row r="102" spans="2:14" ht="13.5" customHeight="1">
      <c r="F102" s="139"/>
      <c r="G102" s="139"/>
    </row>
    <row r="104" spans="2:14" ht="14.25" customHeight="1"/>
    <row r="105" spans="2:14" ht="21" customHeight="1">
      <c r="C105" s="321" t="s">
        <v>37</v>
      </c>
      <c r="D105" s="321"/>
      <c r="E105" s="321"/>
      <c r="F105" s="321"/>
      <c r="G105" s="321"/>
      <c r="H105" s="321"/>
      <c r="I105" s="321"/>
      <c r="J105" s="321"/>
      <c r="K105" s="321"/>
    </row>
    <row r="107" spans="2:14" ht="13.5" customHeight="1">
      <c r="C107" s="327" t="s">
        <v>2</v>
      </c>
      <c r="D107" s="327"/>
      <c r="E107" s="154" t="s">
        <v>3</v>
      </c>
      <c r="F107" s="154"/>
    </row>
    <row r="108" spans="2:14" ht="14.25" customHeight="1">
      <c r="B108" s="114" t="s">
        <v>8</v>
      </c>
      <c r="C108" s="111" t="s">
        <v>6</v>
      </c>
      <c r="D108" s="112" t="s">
        <v>7</v>
      </c>
      <c r="E108" s="113" t="s">
        <v>8</v>
      </c>
      <c r="F108" s="113" t="s">
        <v>9</v>
      </c>
    </row>
    <row r="109" spans="2:14" ht="14.25" customHeight="1">
      <c r="B109" s="114" t="s">
        <v>49</v>
      </c>
      <c r="C109" s="147">
        <v>21857.81</v>
      </c>
      <c r="D109" s="147">
        <v>28212.25</v>
      </c>
      <c r="E109" s="147">
        <f>D109-C109</f>
        <v>6354.4399999999987</v>
      </c>
      <c r="F109" s="116">
        <f>D109/C109-1</f>
        <v>0.29071713954874712</v>
      </c>
    </row>
    <row r="110" spans="2:14" ht="14.25" customHeight="1">
      <c r="C110" s="148">
        <v>1321719.86716667</v>
      </c>
      <c r="D110" s="148">
        <v>1792760.89</v>
      </c>
      <c r="E110" s="148">
        <f>D110-C110</f>
        <v>471041.02283332986</v>
      </c>
      <c r="F110" s="116">
        <f>D110/C110-1</f>
        <v>0.3563849152415981</v>
      </c>
    </row>
    <row r="113" spans="2:12" ht="15" customHeight="1">
      <c r="B113" s="316" t="s">
        <v>12</v>
      </c>
      <c r="C113" s="316"/>
      <c r="D113" s="316"/>
      <c r="E113" s="316"/>
      <c r="F113" s="316"/>
      <c r="G113" s="316"/>
      <c r="H113" s="316"/>
      <c r="I113" s="317" t="s">
        <v>13</v>
      </c>
      <c r="J113" s="317"/>
      <c r="K113" s="317"/>
      <c r="L113" s="317"/>
    </row>
    <row r="114" spans="2:12" ht="14.25" customHeight="1">
      <c r="B114" s="119" t="s">
        <v>14</v>
      </c>
      <c r="C114" s="318" t="s">
        <v>15</v>
      </c>
      <c r="D114" s="318"/>
      <c r="E114" s="318"/>
      <c r="F114" s="119" t="s">
        <v>16</v>
      </c>
      <c r="G114" s="119" t="s">
        <v>17</v>
      </c>
      <c r="H114" s="120" t="s">
        <v>21</v>
      </c>
      <c r="I114" s="121" t="s">
        <v>18</v>
      </c>
      <c r="J114" s="122" t="s">
        <v>19</v>
      </c>
      <c r="K114" s="122" t="s">
        <v>20</v>
      </c>
      <c r="L114" s="122" t="s">
        <v>14</v>
      </c>
    </row>
    <row r="115" spans="2:12" ht="14.25" customHeight="1">
      <c r="B115" s="328">
        <v>7000</v>
      </c>
      <c r="C115" s="323" t="s">
        <v>22</v>
      </c>
      <c r="D115" s="323"/>
      <c r="E115" s="323"/>
      <c r="F115" s="151">
        <v>0.5</v>
      </c>
      <c r="G115" s="127">
        <f>B115*F115</f>
        <v>3500</v>
      </c>
      <c r="H115" s="145">
        <v>0.95</v>
      </c>
      <c r="I115" s="141">
        <f>C110</f>
        <v>1321719.86716667</v>
      </c>
      <c r="J115" s="141">
        <f>D110</f>
        <v>1792760.89</v>
      </c>
      <c r="K115" s="145">
        <f>IFERROR(J115/I115,0)</f>
        <v>1.3563849152415981</v>
      </c>
      <c r="L115" s="127">
        <f>IF(K115&lt;H115,0,K115*$G115)</f>
        <v>4747.3472033455937</v>
      </c>
    </row>
    <row r="116" spans="2:12" ht="21" customHeight="1">
      <c r="B116" s="328"/>
      <c r="C116" s="323" t="s">
        <v>38</v>
      </c>
      <c r="D116" s="323"/>
      <c r="E116" s="323"/>
      <c r="F116" s="151">
        <v>0.2</v>
      </c>
      <c r="G116" s="127">
        <f>B115*F116</f>
        <v>1400</v>
      </c>
      <c r="H116" s="145">
        <v>0.75</v>
      </c>
      <c r="I116" s="145">
        <v>1</v>
      </c>
      <c r="J116" s="145"/>
      <c r="K116" s="126">
        <f>IFERROR(J116/I116,0)</f>
        <v>0</v>
      </c>
      <c r="L116" s="127">
        <f>IF(K116&lt;H116,0,K116*$G116)</f>
        <v>0</v>
      </c>
    </row>
    <row r="117" spans="2:12" ht="14.25" customHeight="1">
      <c r="B117" s="328"/>
      <c r="C117" s="323" t="s">
        <v>39</v>
      </c>
      <c r="D117" s="323"/>
      <c r="E117" s="323"/>
      <c r="F117" s="151">
        <v>0.2</v>
      </c>
      <c r="G117" s="127">
        <f>B115*F117</f>
        <v>1400</v>
      </c>
      <c r="H117" s="145">
        <v>0.75</v>
      </c>
      <c r="I117" s="145">
        <v>1</v>
      </c>
      <c r="J117" s="145"/>
      <c r="K117" s="126">
        <f>IFERROR(J117/I117,0)</f>
        <v>0</v>
      </c>
      <c r="L117" s="127">
        <f>IF(K117&lt;H117,0,K117*$G117)</f>
        <v>0</v>
      </c>
    </row>
    <row r="118" spans="2:12" ht="14.25" customHeight="1">
      <c r="B118" s="328"/>
      <c r="C118" s="323" t="s">
        <v>40</v>
      </c>
      <c r="D118" s="323"/>
      <c r="E118" s="323"/>
      <c r="F118" s="149">
        <v>0.1</v>
      </c>
      <c r="G118" s="123">
        <f>+F118*B115</f>
        <v>700</v>
      </c>
      <c r="H118" s="145">
        <v>0.75</v>
      </c>
      <c r="I118" s="145">
        <v>1</v>
      </c>
      <c r="J118" s="145"/>
      <c r="K118" s="126">
        <f>IFERROR(J118/I118,0)</f>
        <v>0</v>
      </c>
      <c r="L118" s="127">
        <f>IF(K118&lt;H118,0,K118*$G118)</f>
        <v>0</v>
      </c>
    </row>
    <row r="119" spans="2:12" ht="27" customHeight="1">
      <c r="E119" s="129" t="s">
        <v>27</v>
      </c>
      <c r="F119" s="157">
        <f>SUM(F115:F118)</f>
        <v>0.99999999999999989</v>
      </c>
      <c r="G119" s="131">
        <f>SUM(G115:G118)</f>
        <v>7000</v>
      </c>
      <c r="H119" s="139"/>
      <c r="J119" s="118"/>
      <c r="K119" s="132" t="s">
        <v>28</v>
      </c>
      <c r="L119" s="133">
        <f>SUM(L116:L118)</f>
        <v>0</v>
      </c>
    </row>
    <row r="120" spans="2:12" ht="14.25" customHeight="1">
      <c r="F120" s="136"/>
      <c r="G120" s="136"/>
    </row>
    <row r="121" spans="2:12" ht="18" customHeight="1">
      <c r="F121" s="136"/>
      <c r="G121" s="136"/>
      <c r="K121" s="137" t="s">
        <v>29</v>
      </c>
      <c r="L121" s="138">
        <f>+L119+L115</f>
        <v>4747.3472033455937</v>
      </c>
    </row>
    <row r="196" spans="15:18" ht="13.5" customHeight="1">
      <c r="O196" s="108">
        <v>3</v>
      </c>
      <c r="P196" s="108">
        <v>3.1</v>
      </c>
      <c r="Q196" s="108">
        <f>+P196-O196</f>
        <v>0.10000000000000009</v>
      </c>
      <c r="R196" s="108">
        <f>+Q196/P196</f>
        <v>3.2258064516129059E-2</v>
      </c>
    </row>
    <row r="200" spans="15:18" ht="13.5" customHeight="1">
      <c r="Q200" s="136">
        <f>2000*3*12</f>
        <v>72000</v>
      </c>
    </row>
    <row r="203" spans="15:18" ht="13.5" customHeight="1">
      <c r="Q203" s="108">
        <f>2000*12</f>
        <v>24000</v>
      </c>
    </row>
  </sheetData>
  <mergeCells count="58">
    <mergeCell ref="B115:B118"/>
    <mergeCell ref="C115:E115"/>
    <mergeCell ref="C116:E116"/>
    <mergeCell ref="C117:E117"/>
    <mergeCell ref="C118:E118"/>
    <mergeCell ref="C105:K105"/>
    <mergeCell ref="C107:D107"/>
    <mergeCell ref="B113:H113"/>
    <mergeCell ref="I113:L113"/>
    <mergeCell ref="C114:E114"/>
    <mergeCell ref="C84:K84"/>
    <mergeCell ref="B92:H92"/>
    <mergeCell ref="I92:L92"/>
    <mergeCell ref="C93:E93"/>
    <mergeCell ref="B94:B98"/>
    <mergeCell ref="C94:E94"/>
    <mergeCell ref="C95:E95"/>
    <mergeCell ref="C96:E96"/>
    <mergeCell ref="C97:E97"/>
    <mergeCell ref="C98:E98"/>
    <mergeCell ref="C65:K65"/>
    <mergeCell ref="B73:H73"/>
    <mergeCell ref="I73:L73"/>
    <mergeCell ref="C74:E74"/>
    <mergeCell ref="B75:B77"/>
    <mergeCell ref="C75:E75"/>
    <mergeCell ref="C76:E76"/>
    <mergeCell ref="C77:E77"/>
    <mergeCell ref="C44:K44"/>
    <mergeCell ref="B52:H52"/>
    <mergeCell ref="I52:L52"/>
    <mergeCell ref="C53:E53"/>
    <mergeCell ref="B54:B58"/>
    <mergeCell ref="C54:E54"/>
    <mergeCell ref="C55:E55"/>
    <mergeCell ref="C56:E56"/>
    <mergeCell ref="C57:E57"/>
    <mergeCell ref="C58:E58"/>
    <mergeCell ref="C23:K23"/>
    <mergeCell ref="B31:H31"/>
    <mergeCell ref="I31:L31"/>
    <mergeCell ref="C32:E32"/>
    <mergeCell ref="B33:B37"/>
    <mergeCell ref="C33:E33"/>
    <mergeCell ref="C34:E34"/>
    <mergeCell ref="C35:E35"/>
    <mergeCell ref="C36:E36"/>
    <mergeCell ref="C37:E37"/>
    <mergeCell ref="B13:B16"/>
    <mergeCell ref="C13:E13"/>
    <mergeCell ref="C14:E14"/>
    <mergeCell ref="C15:E15"/>
    <mergeCell ref="C16:E16"/>
    <mergeCell ref="C1:J1"/>
    <mergeCell ref="C3:K3"/>
    <mergeCell ref="B11:H11"/>
    <mergeCell ref="I11:L11"/>
    <mergeCell ref="C12:E12"/>
  </mergeCells>
  <conditionalFormatting sqref="F89">
    <cfRule type="iconSet" priority="2">
      <iconSet iconSet="3Arrows">
        <cfvo type="percent" val="0"/>
        <cfvo type="num" val="0"/>
        <cfvo type="num" val="0"/>
      </iconSet>
    </cfRule>
  </conditionalFormatting>
  <conditionalFormatting sqref="F88">
    <cfRule type="iconSet" priority="3">
      <iconSet iconSet="3Arrows">
        <cfvo type="percent" val="0"/>
        <cfvo type="num" val="0"/>
        <cfvo type="num" val="0"/>
      </iconSet>
    </cfRule>
  </conditionalFormatting>
  <conditionalFormatting sqref="F70">
    <cfRule type="iconSet" priority="4">
      <iconSet iconSet="3Arrows">
        <cfvo type="percent" val="0"/>
        <cfvo type="num" val="0"/>
        <cfvo type="num" val="0"/>
      </iconSet>
    </cfRule>
  </conditionalFormatting>
  <conditionalFormatting sqref="F69">
    <cfRule type="iconSet" priority="5">
      <iconSet iconSet="3Arrows">
        <cfvo type="percent" val="0"/>
        <cfvo type="num" val="0"/>
        <cfvo type="num" val="0"/>
      </iconSet>
    </cfRule>
  </conditionalFormatting>
  <conditionalFormatting sqref="F49">
    <cfRule type="iconSet" priority="6">
      <iconSet iconSet="3Arrows">
        <cfvo type="percent" val="0"/>
        <cfvo type="num" val="0"/>
        <cfvo type="num" val="0"/>
      </iconSet>
    </cfRule>
  </conditionalFormatting>
  <conditionalFormatting sqref="F48">
    <cfRule type="iconSet" priority="7">
      <iconSet iconSet="3Arrows">
        <cfvo type="percent" val="0"/>
        <cfvo type="num" val="0"/>
        <cfvo type="num" val="0"/>
      </iconSet>
    </cfRule>
  </conditionalFormatting>
  <conditionalFormatting sqref="F110">
    <cfRule type="iconSet" priority="8">
      <iconSet iconSet="3Arrows">
        <cfvo type="percent" val="0"/>
        <cfvo type="num" val="0"/>
        <cfvo type="num" val="0"/>
      </iconSet>
    </cfRule>
  </conditionalFormatting>
  <conditionalFormatting sqref="F109">
    <cfRule type="iconSet" priority="9">
      <iconSet iconSet="3Arrows">
        <cfvo type="percent" val="0"/>
        <cfvo type="num" val="0"/>
        <cfvo type="num" val="0"/>
      </iconSet>
    </cfRule>
  </conditionalFormatting>
  <conditionalFormatting sqref="F28">
    <cfRule type="iconSet" priority="10">
      <iconSet iconSet="3Arrows">
        <cfvo type="percent" val="0"/>
        <cfvo type="num" val="0"/>
        <cfvo type="num" val="0"/>
      </iconSet>
    </cfRule>
  </conditionalFormatting>
  <conditionalFormatting sqref="F27">
    <cfRule type="iconSet" priority="11">
      <iconSet iconSet="3Arrows">
        <cfvo type="percent" val="0"/>
        <cfvo type="num" val="0"/>
        <cfvo type="num" val="0"/>
      </iconSet>
    </cfRule>
  </conditionalFormatting>
  <conditionalFormatting sqref="F8:G8">
    <cfRule type="iconSet" priority="12">
      <iconSet iconSet="3Arrows">
        <cfvo type="percent" val="0"/>
        <cfvo type="num" val="0"/>
        <cfvo type="num" val="0"/>
      </iconSet>
    </cfRule>
  </conditionalFormatting>
  <conditionalFormatting sqref="F7">
    <cfRule type="iconSet" priority="13">
      <iconSet iconSet="3Arrows">
        <cfvo type="percent" val="0"/>
        <cfvo type="num" val="0"/>
        <cfvo type="num" val="0"/>
      </iconSet>
    </cfRule>
  </conditionalFormatting>
  <pageMargins left="0.23611111111111099" right="0.23611111111111099" top="0.74791666666666701" bottom="0.74791666666666701" header="0.511811023622047" footer="0.511811023622047"/>
  <pageSetup scale="70" orientation="landscape" horizontalDpi="300" verticalDpi="300"/>
  <rowBreaks count="2" manualBreakCount="2">
    <brk id="43" max="16383" man="1"/>
    <brk id="8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zoomScaleNormal="100" workbookViewId="0">
      <selection activeCell="B17" sqref="B17"/>
    </sheetView>
  </sheetViews>
  <sheetFormatPr baseColWidth="10" defaultColWidth="10.6328125" defaultRowHeight="14.5"/>
  <cols>
    <col min="1" max="1" width="21.54296875" style="1" customWidth="1"/>
  </cols>
  <sheetData>
    <row r="1" spans="1:2" ht="14.25" customHeight="1">
      <c r="A1" s="158" t="s">
        <v>171</v>
      </c>
      <c r="B1" s="159">
        <v>0</v>
      </c>
    </row>
    <row r="2" spans="1:2" ht="14.25" customHeight="1">
      <c r="A2" s="160" t="s">
        <v>172</v>
      </c>
      <c r="B2" s="161">
        <v>2500</v>
      </c>
    </row>
    <row r="3" spans="1:2" ht="14.25" customHeight="1">
      <c r="A3" s="160" t="s">
        <v>173</v>
      </c>
      <c r="B3" s="161">
        <v>6535</v>
      </c>
    </row>
    <row r="4" spans="1:2" ht="15" customHeight="1">
      <c r="A4" s="162" t="s">
        <v>174</v>
      </c>
      <c r="B4" s="163">
        <f>SUM(B1:B3)</f>
        <v>9035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Q50"/>
  <sheetViews>
    <sheetView showGridLines="0" topLeftCell="C1" zoomScale="85" zoomScaleNormal="85" workbookViewId="0">
      <pane ySplit="7" topLeftCell="A17" activePane="bottomLeft" state="frozen"/>
      <selection activeCell="C1" sqref="C1"/>
      <selection pane="bottomLeft" activeCell="I31" sqref="I31"/>
    </sheetView>
  </sheetViews>
  <sheetFormatPr baseColWidth="10" defaultColWidth="11.453125" defaultRowHeight="14"/>
  <cols>
    <col min="1" max="2" width="4.1796875" style="164" customWidth="1"/>
    <col min="3" max="3" width="7" style="165" customWidth="1"/>
    <col min="4" max="4" width="1.81640625" style="166" customWidth="1"/>
    <col min="5" max="5" width="61.81640625" style="164" customWidth="1"/>
    <col min="6" max="6" width="13.54296875" style="167" customWidth="1"/>
    <col min="7" max="7" width="1.453125" style="164" customWidth="1"/>
    <col min="8" max="8" width="51.1796875" style="164" customWidth="1"/>
    <col min="9" max="9" width="15.1796875" style="164" customWidth="1"/>
    <col min="10" max="10" width="16" style="164" customWidth="1"/>
    <col min="11" max="11" width="16.54296875" style="164" customWidth="1"/>
    <col min="12" max="12" width="1.453125" style="164" customWidth="1"/>
    <col min="13" max="13" width="15.453125" style="164" customWidth="1"/>
    <col min="14" max="15" width="1.81640625" style="164" customWidth="1"/>
    <col min="16" max="16384" width="11.453125" style="164"/>
  </cols>
  <sheetData>
    <row r="2" spans="2:17" ht="19.5" customHeight="1">
      <c r="F2" s="164"/>
      <c r="H2" s="167"/>
      <c r="I2" s="167"/>
    </row>
    <row r="3" spans="2:17" ht="19.5" customHeight="1">
      <c r="J3" s="168"/>
    </row>
    <row r="4" spans="2:17" ht="19.5" customHeight="1">
      <c r="J4" s="168"/>
    </row>
    <row r="5" spans="2:17" ht="21.75" customHeight="1">
      <c r="E5" s="169" t="s">
        <v>175</v>
      </c>
      <c r="F5" s="170">
        <v>15000</v>
      </c>
      <c r="J5" s="171"/>
      <c r="M5" s="172"/>
    </row>
    <row r="6" spans="2:17" s="173" customFormat="1" ht="30" customHeight="1">
      <c r="D6" s="174"/>
      <c r="E6" s="175" t="s">
        <v>176</v>
      </c>
      <c r="F6" s="176">
        <v>25000</v>
      </c>
      <c r="I6" s="177" t="s">
        <v>177</v>
      </c>
      <c r="J6" s="178" t="s">
        <v>178</v>
      </c>
      <c r="K6" s="178" t="s">
        <v>179</v>
      </c>
      <c r="M6" s="179" t="s">
        <v>180</v>
      </c>
      <c r="P6" s="180"/>
    </row>
    <row r="7" spans="2:17" s="173" customFormat="1" ht="7.5" customHeight="1">
      <c r="D7" s="174"/>
      <c r="J7" s="181"/>
      <c r="K7" s="181"/>
      <c r="M7" s="181"/>
      <c r="P7" s="180"/>
    </row>
    <row r="8" spans="2:17" ht="6" customHeight="1">
      <c r="B8" s="182"/>
      <c r="C8" s="183"/>
      <c r="D8" s="183"/>
      <c r="E8" s="184"/>
      <c r="F8" s="185"/>
      <c r="G8" s="184"/>
      <c r="H8" s="184"/>
      <c r="I8" s="184"/>
      <c r="J8" s="184"/>
      <c r="K8" s="184"/>
      <c r="L8" s="184"/>
      <c r="M8" s="184"/>
      <c r="N8" s="186"/>
    </row>
    <row r="9" spans="2:17" ht="19.5" customHeight="1">
      <c r="B9" s="187"/>
      <c r="C9" s="329" t="s">
        <v>181</v>
      </c>
      <c r="D9" s="188"/>
      <c r="E9" s="189" t="s">
        <v>182</v>
      </c>
      <c r="F9" s="190">
        <v>0.3</v>
      </c>
      <c r="G9" s="189"/>
      <c r="H9" s="191" t="s">
        <v>183</v>
      </c>
      <c r="I9" s="192">
        <v>1500000</v>
      </c>
      <c r="J9" s="192">
        <v>1500000</v>
      </c>
      <c r="K9" s="192">
        <v>1500000</v>
      </c>
      <c r="L9" s="189"/>
      <c r="M9" s="193">
        <f>I9+J9+K9</f>
        <v>4500000</v>
      </c>
      <c r="N9" s="194"/>
      <c r="P9" s="165"/>
      <c r="Q9" s="165"/>
    </row>
    <row r="10" spans="2:17" ht="19.5" customHeight="1">
      <c r="B10" s="187"/>
      <c r="C10" s="329"/>
      <c r="D10" s="188"/>
      <c r="E10" s="189" t="s">
        <v>184</v>
      </c>
      <c r="F10" s="190">
        <v>0.8</v>
      </c>
      <c r="G10" s="189"/>
      <c r="H10" s="191" t="s">
        <v>185</v>
      </c>
      <c r="I10" s="192"/>
      <c r="J10" s="192"/>
      <c r="K10" s="192"/>
      <c r="L10" s="189"/>
      <c r="M10" s="193">
        <f>I10+J10+K10</f>
        <v>0</v>
      </c>
      <c r="N10" s="194"/>
      <c r="P10" s="195"/>
    </row>
    <row r="11" spans="2:17" ht="19.5" customHeight="1">
      <c r="B11" s="187"/>
      <c r="C11" s="329"/>
      <c r="D11" s="188"/>
      <c r="E11" s="189" t="s">
        <v>186</v>
      </c>
      <c r="F11" s="196">
        <v>2</v>
      </c>
      <c r="G11" s="189"/>
      <c r="H11" s="191" t="s">
        <v>187</v>
      </c>
      <c r="I11" s="193">
        <f>+I10-I9</f>
        <v>-1500000</v>
      </c>
      <c r="J11" s="193">
        <f>+J10-J9</f>
        <v>-1500000</v>
      </c>
      <c r="K11" s="193">
        <f>+K10-K9</f>
        <v>-1500000</v>
      </c>
      <c r="L11" s="189"/>
      <c r="M11" s="193">
        <f>+M10-M9</f>
        <v>-4500000</v>
      </c>
      <c r="N11" s="194"/>
      <c r="P11" s="195"/>
    </row>
    <row r="12" spans="2:17" ht="19.5" customHeight="1">
      <c r="B12" s="187"/>
      <c r="C12" s="329"/>
      <c r="D12" s="188"/>
      <c r="E12" s="189" t="s">
        <v>188</v>
      </c>
      <c r="F12" s="197">
        <f>F6*F9</f>
        <v>7500</v>
      </c>
      <c r="G12" s="189"/>
      <c r="H12" s="191" t="s">
        <v>189</v>
      </c>
      <c r="I12" s="198">
        <f>I10/I9</f>
        <v>0</v>
      </c>
      <c r="J12" s="198">
        <f>J10/J9</f>
        <v>0</v>
      </c>
      <c r="K12" s="198">
        <f>K10/K9</f>
        <v>0</v>
      </c>
      <c r="L12" s="189"/>
      <c r="M12" s="198">
        <f>M10/M9</f>
        <v>0</v>
      </c>
      <c r="N12" s="194"/>
      <c r="P12" s="195"/>
    </row>
    <row r="13" spans="2:17" ht="19.5" customHeight="1">
      <c r="B13" s="187"/>
      <c r="C13" s="329"/>
      <c r="D13" s="188"/>
      <c r="E13" s="189" t="s">
        <v>190</v>
      </c>
      <c r="F13" s="199"/>
      <c r="G13" s="189"/>
      <c r="H13" s="191" t="s">
        <v>191</v>
      </c>
      <c r="I13" s="200" t="str">
        <f>IF((I$12&gt;=$F$10),"Ok","No")</f>
        <v>No</v>
      </c>
      <c r="J13" s="200" t="str">
        <f>IF((J$12&gt;=$F$10),"Ok","No")</f>
        <v>No</v>
      </c>
      <c r="K13" s="200" t="str">
        <f>IF((K$12&gt;=$F$10),"Ok","No")</f>
        <v>No</v>
      </c>
      <c r="L13" s="189"/>
      <c r="M13" s="200" t="str">
        <f>IF((M$12&gt;$F$10),"Ok","No")</f>
        <v>No</v>
      </c>
      <c r="N13" s="194"/>
    </row>
    <row r="14" spans="2:17" ht="19.5" customHeight="1">
      <c r="B14" s="187"/>
      <c r="C14" s="329"/>
      <c r="D14" s="188"/>
      <c r="E14" s="189"/>
      <c r="F14" s="201"/>
      <c r="G14" s="189"/>
      <c r="H14" s="191" t="s">
        <v>192</v>
      </c>
      <c r="I14" s="200" t="str">
        <f>IF(AND(I$13="No"),"No Aplica",IF(AND(I$12&lt;=1),"Ok",IF(AND(I$12&gt;1),"Revisar")))</f>
        <v>No Aplica</v>
      </c>
      <c r="J14" s="200" t="str">
        <f>IF(AND(J$13="No"),"No Aplica",IF(AND(J$12&lt;=1),"Ok",IF(AND(J$12&gt;1),"Revisar")))</f>
        <v>No Aplica</v>
      </c>
      <c r="K14" s="200" t="str">
        <f>IF(AND(K$13="No"),"No Aplica",IF(AND(K$12&lt;=1),"Ok",IF(AND(K$12&gt;1),"Revisar")))</f>
        <v>No Aplica</v>
      </c>
      <c r="L14" s="189"/>
      <c r="M14" s="200" t="str">
        <f>IF(AND(M$13="No"),"No Aplica",IF(AND(M$12&lt;=1),"Ok",IF(AND(M$12&gt;1),"Revisar")))</f>
        <v>No Aplica</v>
      </c>
      <c r="N14" s="194"/>
    </row>
    <row r="15" spans="2:17" ht="19.5" customHeight="1">
      <c r="B15" s="187"/>
      <c r="C15" s="329"/>
      <c r="D15" s="188"/>
      <c r="E15" s="189"/>
      <c r="F15" s="199"/>
      <c r="G15" s="189"/>
      <c r="H15" s="191" t="s">
        <v>193</v>
      </c>
      <c r="I15" s="202" t="str">
        <f>IF(AND(I$14="No aplica"),"0",IF(AND(I$14="Ok"),(I$12*$F$12),IF(AND(I$14="Revisar"),(I$12*$F$12))))</f>
        <v>0</v>
      </c>
      <c r="J15" s="202" t="str">
        <f>IF(AND(J$14="No aplica"),"0",IF(AND(J$14="Ok"),(J$12*$F$12),IF(AND(J$14="Revisar"),(J$12*$F$12))))</f>
        <v>0</v>
      </c>
      <c r="K15" s="202" t="str">
        <f>IF(AND(K$14="No aplica"),"0",IF(AND(K$14="Ok"),(K$12*$F$12),IF(AND(K$14="Revisar"),(K$12*$F$12))))</f>
        <v>0</v>
      </c>
      <c r="L15" s="189"/>
      <c r="M15" s="202" t="str">
        <f>IF(AND(M$14="No aplica"),"0",IF(AND(M$14="Ok"),(M$12*$F$12*3),IF(AND(M$14="Revisar"),(M$12*$F$12*3))))</f>
        <v>0</v>
      </c>
      <c r="N15" s="194"/>
    </row>
    <row r="16" spans="2:17" ht="19.5" customHeight="1">
      <c r="B16" s="187"/>
      <c r="C16" s="329"/>
      <c r="D16" s="188"/>
      <c r="E16" s="189"/>
      <c r="F16" s="199"/>
      <c r="G16" s="189"/>
      <c r="H16" s="203" t="s">
        <v>194</v>
      </c>
      <c r="I16" s="204">
        <f>MIN(($F$11*$F$12),(IF(AND(I$14="No aplica"),"0",IF(AND(I$14="Ok"),(I$12*$F$12),IF(AND(I$14="Revisar"),(I$12*$F$12))))))</f>
        <v>0</v>
      </c>
      <c r="J16" s="204">
        <f>MIN(($F$11*$F$12),(IF(AND(J$14="No aplica"),"0",IF(AND(J$14="Ok"),(J$12*$F$12),IF(AND(J$14="Revisar"),(J$12*$F$12))))))</f>
        <v>0</v>
      </c>
      <c r="K16" s="204">
        <f>MIN(($F$11*$F$12),(IF(AND(K$14="No aplica"),"0",IF(AND(K$14="Ok"),(K$12*$F$12),IF(AND(K$14="Revisar"),(K$12*$F$12))))))</f>
        <v>0</v>
      </c>
      <c r="L16" s="189"/>
      <c r="M16" s="204">
        <f>MIN(($F$11*(3*$F$12)),(IF(AND(M$14="No aplica"),"0",IF(AND(M$14="Ok"),(M$12*(3*$F$12)),IF(AND(M$14="Revisar"),(M$12*(3*$F$12)))))))</f>
        <v>0</v>
      </c>
      <c r="N16" s="194"/>
    </row>
    <row r="17" spans="2:16" ht="19.5" customHeight="1">
      <c r="B17" s="187"/>
      <c r="C17" s="329"/>
      <c r="D17" s="188"/>
      <c r="E17" s="189"/>
      <c r="F17" s="199"/>
      <c r="G17" s="189"/>
      <c r="H17" s="205" t="s">
        <v>195</v>
      </c>
      <c r="I17" s="206">
        <f>I16</f>
        <v>0</v>
      </c>
      <c r="J17" s="206">
        <f>J16</f>
        <v>0</v>
      </c>
      <c r="K17" s="207">
        <f>K16</f>
        <v>0</v>
      </c>
      <c r="L17" s="189"/>
      <c r="M17" s="208">
        <f>M16</f>
        <v>0</v>
      </c>
      <c r="N17" s="194"/>
    </row>
    <row r="18" spans="2:16" ht="19.5" customHeight="1">
      <c r="B18" s="187"/>
      <c r="C18" s="329"/>
      <c r="D18" s="188"/>
      <c r="E18" s="189"/>
      <c r="F18" s="199"/>
      <c r="G18" s="189"/>
      <c r="H18" s="209" t="s">
        <v>196</v>
      </c>
      <c r="I18" s="210"/>
      <c r="J18" s="210"/>
      <c r="K18" s="211"/>
      <c r="L18" s="189"/>
      <c r="M18" s="212">
        <f>M17-I17-J17-K17</f>
        <v>0</v>
      </c>
      <c r="N18" s="194"/>
    </row>
    <row r="19" spans="2:16" ht="19.5" customHeight="1">
      <c r="B19" s="213"/>
      <c r="C19" s="214"/>
      <c r="D19" s="214"/>
      <c r="E19" s="215"/>
      <c r="F19" s="216"/>
      <c r="G19" s="215"/>
      <c r="H19" s="217"/>
      <c r="I19" s="218"/>
      <c r="J19" s="218"/>
      <c r="K19" s="218"/>
      <c r="L19" s="215"/>
      <c r="M19" s="219"/>
      <c r="N19" s="220"/>
    </row>
    <row r="20" spans="2:16" ht="9.75" customHeight="1">
      <c r="C20" s="221"/>
      <c r="D20" s="221"/>
      <c r="E20" s="189"/>
      <c r="F20" s="199"/>
      <c r="G20" s="189"/>
      <c r="H20" s="189"/>
      <c r="I20" s="189"/>
      <c r="J20" s="189"/>
      <c r="K20" s="189"/>
      <c r="L20" s="189"/>
      <c r="M20" s="189"/>
      <c r="N20" s="189"/>
    </row>
    <row r="21" spans="2:16" ht="5.25" customHeight="1">
      <c r="B21" s="182"/>
      <c r="C21" s="222"/>
      <c r="D21" s="222"/>
      <c r="E21" s="184"/>
      <c r="F21" s="185"/>
      <c r="G21" s="184"/>
      <c r="H21" s="184"/>
      <c r="I21" s="184"/>
      <c r="J21" s="184"/>
      <c r="K21" s="184"/>
      <c r="L21" s="184"/>
      <c r="M21" s="184"/>
      <c r="N21" s="186"/>
    </row>
    <row r="22" spans="2:16" ht="19.5" customHeight="1">
      <c r="B22" s="187"/>
      <c r="C22" s="329" t="s">
        <v>197</v>
      </c>
      <c r="D22" s="188"/>
      <c r="E22" s="189" t="s">
        <v>198</v>
      </c>
      <c r="F22" s="190">
        <v>0.7</v>
      </c>
      <c r="H22" s="223" t="s">
        <v>199</v>
      </c>
      <c r="I22" s="224">
        <v>15</v>
      </c>
      <c r="J22" s="224">
        <v>15</v>
      </c>
      <c r="K22" s="224">
        <v>15</v>
      </c>
      <c r="L22" s="225"/>
      <c r="M22" s="226">
        <f>I22+J22+K22</f>
        <v>45</v>
      </c>
      <c r="N22" s="227"/>
    </row>
    <row r="23" spans="2:16" ht="19.5" customHeight="1">
      <c r="B23" s="187"/>
      <c r="C23" s="329"/>
      <c r="D23" s="188"/>
      <c r="E23" s="228" t="s">
        <v>200</v>
      </c>
      <c r="F23" s="190">
        <v>0.3</v>
      </c>
      <c r="H23" s="223" t="s">
        <v>201</v>
      </c>
      <c r="I23" s="224"/>
      <c r="J23" s="224"/>
      <c r="K23" s="224"/>
      <c r="L23" s="225"/>
      <c r="M23" s="226">
        <f>I23+J23+K23</f>
        <v>0</v>
      </c>
      <c r="N23" s="227"/>
    </row>
    <row r="24" spans="2:16" ht="19.5" customHeight="1">
      <c r="B24" s="187"/>
      <c r="C24" s="329"/>
      <c r="D24" s="188"/>
      <c r="E24" s="228" t="s">
        <v>202</v>
      </c>
      <c r="F24" s="190">
        <v>0.3</v>
      </c>
      <c r="H24" s="191" t="s">
        <v>189</v>
      </c>
      <c r="I24" s="229">
        <f>I23/I22</f>
        <v>0</v>
      </c>
      <c r="J24" s="229">
        <f>J23/J22</f>
        <v>0</v>
      </c>
      <c r="K24" s="229">
        <f>K23/K22</f>
        <v>0</v>
      </c>
      <c r="L24" s="225"/>
      <c r="M24" s="229">
        <f>M23/M22</f>
        <v>0</v>
      </c>
      <c r="N24" s="227"/>
    </row>
    <row r="25" spans="2:16" ht="19.5" customHeight="1">
      <c r="B25" s="187"/>
      <c r="C25" s="329"/>
      <c r="D25" s="188"/>
      <c r="E25" s="230" t="s">
        <v>203</v>
      </c>
      <c r="F25" s="190">
        <v>0.4</v>
      </c>
      <c r="H25" s="231" t="s">
        <v>204</v>
      </c>
      <c r="I25" s="232">
        <f>$F$27*$F$23*I$24</f>
        <v>0</v>
      </c>
      <c r="J25" s="233">
        <f>$F$27*$F$23*J$24</f>
        <v>0</v>
      </c>
      <c r="K25" s="233">
        <f>$F$27*$F$23*K$24</f>
        <v>0</v>
      </c>
      <c r="L25" s="225"/>
      <c r="M25" s="233">
        <f>SUM(I25:K25)</f>
        <v>0</v>
      </c>
      <c r="N25" s="227"/>
    </row>
    <row r="26" spans="2:16" ht="19.5" customHeight="1">
      <c r="B26" s="187"/>
      <c r="C26" s="329"/>
      <c r="D26" s="188"/>
      <c r="E26" s="230" t="s">
        <v>186</v>
      </c>
      <c r="F26" s="196">
        <v>2</v>
      </c>
      <c r="H26" s="223" t="s">
        <v>205</v>
      </c>
      <c r="I26" s="224">
        <v>15</v>
      </c>
      <c r="J26" s="224">
        <v>15</v>
      </c>
      <c r="K26" s="224">
        <v>15</v>
      </c>
      <c r="L26" s="225"/>
      <c r="M26" s="226">
        <f>I26+J26+K26</f>
        <v>45</v>
      </c>
      <c r="N26" s="227"/>
    </row>
    <row r="27" spans="2:16" ht="19.5" customHeight="1">
      <c r="B27" s="187"/>
      <c r="C27" s="329"/>
      <c r="D27" s="188"/>
      <c r="E27" s="230" t="s">
        <v>206</v>
      </c>
      <c r="F27" s="197">
        <f>F22*F6</f>
        <v>17500</v>
      </c>
      <c r="H27" s="223" t="s">
        <v>207</v>
      </c>
      <c r="I27" s="224"/>
      <c r="J27" s="224"/>
      <c r="K27" s="224"/>
      <c r="L27" s="225"/>
      <c r="M27" s="226">
        <f>I27+J27+K27</f>
        <v>0</v>
      </c>
      <c r="N27" s="227"/>
    </row>
    <row r="28" spans="2:16" ht="19.5" customHeight="1">
      <c r="B28" s="187"/>
      <c r="C28" s="329"/>
      <c r="D28" s="188"/>
      <c r="E28" s="234" t="s">
        <v>208</v>
      </c>
      <c r="F28" s="235"/>
      <c r="H28" s="191" t="s">
        <v>189</v>
      </c>
      <c r="I28" s="229">
        <f>I27/I26</f>
        <v>0</v>
      </c>
      <c r="J28" s="229">
        <f>J27/J26</f>
        <v>0</v>
      </c>
      <c r="K28" s="229">
        <f>K27/K26</f>
        <v>0</v>
      </c>
      <c r="L28" s="225"/>
      <c r="M28" s="229">
        <f>M27/M26</f>
        <v>0</v>
      </c>
      <c r="N28" s="227"/>
    </row>
    <row r="29" spans="2:16" ht="19.5" customHeight="1">
      <c r="B29" s="187"/>
      <c r="C29" s="329"/>
      <c r="D29" s="188"/>
      <c r="F29" s="236"/>
      <c r="H29" s="231" t="s">
        <v>209</v>
      </c>
      <c r="I29" s="233">
        <f>$F$27*$F$24*I$28</f>
        <v>0</v>
      </c>
      <c r="J29" s="233">
        <f>$F$27*$F$24*J$28</f>
        <v>0</v>
      </c>
      <c r="K29" s="233">
        <f>$F$27*$F$24*K$28</f>
        <v>0</v>
      </c>
      <c r="L29" s="225"/>
      <c r="M29" s="233">
        <f>SUM(I29:K29)</f>
        <v>0</v>
      </c>
      <c r="N29" s="227"/>
    </row>
    <row r="30" spans="2:16" ht="19.5" customHeight="1">
      <c r="B30" s="187"/>
      <c r="C30" s="329"/>
      <c r="D30" s="188"/>
      <c r="F30" s="235"/>
      <c r="H30" s="223" t="s">
        <v>210</v>
      </c>
      <c r="I30" s="224">
        <v>5</v>
      </c>
      <c r="J30" s="224">
        <v>5</v>
      </c>
      <c r="K30" s="224">
        <v>5</v>
      </c>
      <c r="L30" s="225"/>
      <c r="M30" s="226">
        <f>I30+J30+K30</f>
        <v>15</v>
      </c>
      <c r="N30" s="227"/>
    </row>
    <row r="31" spans="2:16" ht="19.5" customHeight="1">
      <c r="B31" s="187"/>
      <c r="C31" s="329"/>
      <c r="D31" s="188"/>
      <c r="H31" s="223" t="s">
        <v>211</v>
      </c>
      <c r="I31" s="224"/>
      <c r="J31" s="224"/>
      <c r="K31" s="224"/>
      <c r="L31" s="225"/>
      <c r="M31" s="226">
        <f>I31+J31+K31</f>
        <v>0</v>
      </c>
      <c r="N31" s="227"/>
    </row>
    <row r="32" spans="2:16" s="189" customFormat="1" ht="19.5" customHeight="1">
      <c r="B32" s="237"/>
      <c r="C32" s="329"/>
      <c r="D32" s="188"/>
      <c r="F32" s="199"/>
      <c r="H32" s="191" t="s">
        <v>189</v>
      </c>
      <c r="I32" s="229">
        <f>I31/I30</f>
        <v>0</v>
      </c>
      <c r="J32" s="229">
        <f>J31/J30</f>
        <v>0</v>
      </c>
      <c r="K32" s="229">
        <f>K31/K30</f>
        <v>0</v>
      </c>
      <c r="L32" s="225"/>
      <c r="M32" s="229">
        <f>M31/M30</f>
        <v>0</v>
      </c>
      <c r="N32" s="227"/>
      <c r="O32" s="164"/>
      <c r="P32" s="164"/>
    </row>
    <row r="33" spans="2:16" s="189" customFormat="1" ht="19.5" customHeight="1">
      <c r="B33" s="237"/>
      <c r="C33" s="329"/>
      <c r="D33" s="188"/>
      <c r="F33" s="199"/>
      <c r="H33" s="231" t="s">
        <v>212</v>
      </c>
      <c r="I33" s="233">
        <f>$F$27*$F$25*I$32</f>
        <v>0</v>
      </c>
      <c r="J33" s="233">
        <f>$F$27*$F$25*J$32</f>
        <v>0</v>
      </c>
      <c r="K33" s="233">
        <f>$F$27*$F$25*K$32</f>
        <v>0</v>
      </c>
      <c r="L33" s="225"/>
      <c r="M33" s="233">
        <f>SUM(I33:K33)</f>
        <v>0</v>
      </c>
      <c r="N33" s="227"/>
      <c r="O33" s="164"/>
      <c r="P33" s="164"/>
    </row>
    <row r="34" spans="2:16" ht="19.5" customHeight="1">
      <c r="B34" s="187"/>
      <c r="C34" s="329"/>
      <c r="D34" s="188"/>
      <c r="H34" s="203" t="s">
        <v>213</v>
      </c>
      <c r="I34" s="238">
        <f>I25+I29+I33</f>
        <v>0</v>
      </c>
      <c r="J34" s="238">
        <f>J25+J29+J33</f>
        <v>0</v>
      </c>
      <c r="K34" s="238">
        <f>K25+K29+K33</f>
        <v>0</v>
      </c>
      <c r="L34" s="238">
        <f>L25+L29+L33</f>
        <v>0</v>
      </c>
      <c r="M34" s="238">
        <f>M25+M29+M33</f>
        <v>0</v>
      </c>
      <c r="N34" s="227"/>
    </row>
    <row r="35" spans="2:16" ht="19.5" customHeight="1">
      <c r="B35" s="187"/>
      <c r="C35" s="329"/>
      <c r="D35" s="188"/>
      <c r="H35" s="205" t="s">
        <v>214</v>
      </c>
      <c r="I35" s="206">
        <f>MIN((($F$26*$F$27)),I34)</f>
        <v>0</v>
      </c>
      <c r="J35" s="206">
        <f>MIN((($F$26*$F$27)),J34)</f>
        <v>0</v>
      </c>
      <c r="K35" s="207">
        <f>MIN((($F$26*$F$27)),K34)</f>
        <v>0</v>
      </c>
      <c r="L35" s="189"/>
      <c r="M35" s="208">
        <f>MIN((($F$26*$F$27*3)),M34)</f>
        <v>0</v>
      </c>
      <c r="N35" s="227"/>
    </row>
    <row r="36" spans="2:16" ht="19.5" customHeight="1">
      <c r="B36" s="187"/>
      <c r="C36" s="329"/>
      <c r="D36" s="188"/>
      <c r="H36" s="209" t="s">
        <v>196</v>
      </c>
      <c r="I36" s="210"/>
      <c r="J36" s="210"/>
      <c r="K36" s="211"/>
      <c r="L36" s="189"/>
      <c r="M36" s="212">
        <f>M35-I35-J35-K35</f>
        <v>0</v>
      </c>
      <c r="N36" s="194"/>
      <c r="O36" s="189"/>
      <c r="P36" s="189"/>
    </row>
    <row r="37" spans="2:16" ht="19.5" customHeight="1">
      <c r="B37" s="213"/>
      <c r="C37" s="239"/>
      <c r="D37" s="240"/>
      <c r="E37" s="217"/>
      <c r="F37" s="241"/>
      <c r="G37" s="217"/>
      <c r="H37" s="215"/>
      <c r="I37" s="218"/>
      <c r="J37" s="218"/>
      <c r="K37" s="218"/>
      <c r="L37" s="215"/>
      <c r="M37" s="219"/>
      <c r="N37" s="220"/>
      <c r="O37" s="189"/>
      <c r="P37" s="189"/>
    </row>
    <row r="38" spans="2:16" ht="9" customHeight="1">
      <c r="H38" s="189"/>
      <c r="I38" s="242"/>
      <c r="J38" s="242"/>
      <c r="K38" s="242"/>
      <c r="L38" s="189"/>
      <c r="M38" s="243"/>
      <c r="N38" s="189"/>
      <c r="O38" s="189"/>
      <c r="P38" s="189"/>
    </row>
    <row r="39" spans="2:16" ht="7.5" customHeight="1">
      <c r="B39" s="182"/>
      <c r="C39" s="244"/>
      <c r="D39" s="183"/>
      <c r="E39" s="245"/>
      <c r="F39" s="246"/>
      <c r="G39" s="245"/>
      <c r="H39" s="184"/>
      <c r="I39" s="247"/>
      <c r="J39" s="247"/>
      <c r="K39" s="247"/>
      <c r="L39" s="184"/>
      <c r="M39" s="248"/>
      <c r="N39" s="186"/>
      <c r="O39" s="189"/>
      <c r="P39" s="189"/>
    </row>
    <row r="40" spans="2:16" ht="29.25" customHeight="1">
      <c r="B40" s="187"/>
      <c r="C40" s="330" t="s">
        <v>215</v>
      </c>
      <c r="D40" s="330"/>
      <c r="E40" s="330"/>
      <c r="F40" s="330"/>
      <c r="H40" s="249" t="s">
        <v>216</v>
      </c>
      <c r="I40" s="250">
        <f>I17+I35</f>
        <v>0</v>
      </c>
      <c r="J40" s="250">
        <f>J17+J35</f>
        <v>0</v>
      </c>
      <c r="K40" s="251">
        <f>K17+K35</f>
        <v>0</v>
      </c>
      <c r="M40" s="252">
        <f>M17+M35</f>
        <v>0</v>
      </c>
      <c r="N40" s="227"/>
    </row>
    <row r="41" spans="2:16" ht="29.25" customHeight="1">
      <c r="B41" s="187"/>
      <c r="C41" s="330"/>
      <c r="D41" s="330"/>
      <c r="E41" s="330"/>
      <c r="F41" s="330"/>
      <c r="H41" s="209" t="s">
        <v>196</v>
      </c>
      <c r="I41" s="210"/>
      <c r="J41" s="210"/>
      <c r="K41" s="211"/>
      <c r="L41" s="189"/>
      <c r="M41" s="212">
        <f>M36+M18</f>
        <v>0</v>
      </c>
      <c r="N41" s="227"/>
    </row>
    <row r="42" spans="2:16" ht="6" customHeight="1">
      <c r="B42" s="213"/>
      <c r="C42" s="239"/>
      <c r="D42" s="240"/>
      <c r="E42" s="217"/>
      <c r="F42" s="241"/>
      <c r="G42" s="217"/>
      <c r="H42" s="241"/>
      <c r="I42" s="217"/>
      <c r="J42" s="217"/>
      <c r="K42" s="217"/>
      <c r="L42" s="217"/>
      <c r="M42" s="217"/>
      <c r="N42" s="253"/>
    </row>
    <row r="43" spans="2:16" ht="19.5" customHeight="1">
      <c r="I43" s="254"/>
      <c r="J43" s="254"/>
      <c r="K43" s="254"/>
    </row>
    <row r="50" spans="13:13" ht="19.5" customHeight="1">
      <c r="M50" s="254"/>
    </row>
  </sheetData>
  <mergeCells count="3">
    <mergeCell ref="C9:C18"/>
    <mergeCell ref="C22:C36"/>
    <mergeCell ref="C40:F41"/>
  </mergeCells>
  <conditionalFormatting sqref="I36:K36">
    <cfRule type="cellIs" dxfId="43" priority="2" operator="equal">
      <formula>"Revisar"</formula>
    </cfRule>
    <cfRule type="cellIs" dxfId="42" priority="3" operator="equal">
      <formula>"no aplica"</formula>
    </cfRule>
    <cfRule type="cellIs" dxfId="41" priority="4" operator="equal">
      <formula>"NO"</formula>
    </cfRule>
    <cfRule type="cellIs" dxfId="40" priority="5" operator="equal">
      <formula>"OK"</formula>
    </cfRule>
  </conditionalFormatting>
  <conditionalFormatting sqref="M35:M36">
    <cfRule type="cellIs" dxfId="39" priority="6" operator="equal">
      <formula>"Ok"</formula>
    </cfRule>
    <cfRule type="cellIs" dxfId="38" priority="7" operator="equal">
      <formula>"No"</formula>
    </cfRule>
  </conditionalFormatting>
  <conditionalFormatting sqref="I35:K35">
    <cfRule type="cellIs" dxfId="37" priority="8" operator="equal">
      <formula>"Ok"</formula>
    </cfRule>
    <cfRule type="cellIs" dxfId="36" priority="9" operator="equal">
      <formula>"No"</formula>
    </cfRule>
  </conditionalFormatting>
  <conditionalFormatting sqref="I24:M24 I28:M28 I32:M32">
    <cfRule type="cellIs" dxfId="35" priority="10" operator="equal">
      <formula>1</formula>
    </cfRule>
    <cfRule type="cellIs" dxfId="34" priority="11" operator="equal">
      <formula>1</formula>
    </cfRule>
    <cfRule type="cellIs" dxfId="33" priority="12" operator="greaterThan">
      <formula>1</formula>
    </cfRule>
    <cfRule type="cellIs" dxfId="32" priority="13" operator="lessThan">
      <formula>1</formula>
    </cfRule>
  </conditionalFormatting>
  <conditionalFormatting sqref="I41:K41">
    <cfRule type="cellIs" dxfId="31" priority="14" operator="equal">
      <formula>"Revisar"</formula>
    </cfRule>
    <cfRule type="cellIs" dxfId="30" priority="15" operator="equal">
      <formula>"no aplica"</formula>
    </cfRule>
    <cfRule type="cellIs" dxfId="29" priority="16" operator="equal">
      <formula>"NO"</formula>
    </cfRule>
    <cfRule type="cellIs" dxfId="28" priority="17" operator="equal">
      <formula>"OK"</formula>
    </cfRule>
  </conditionalFormatting>
  <conditionalFormatting sqref="M41">
    <cfRule type="cellIs" dxfId="27" priority="18" operator="equal">
      <formula>"Ok"</formula>
    </cfRule>
    <cfRule type="cellIs" dxfId="26" priority="19" operator="equal">
      <formula>"No"</formula>
    </cfRule>
  </conditionalFormatting>
  <conditionalFormatting sqref="I18:K19">
    <cfRule type="cellIs" dxfId="25" priority="20" operator="equal">
      <formula>"Revisar"</formula>
    </cfRule>
    <cfRule type="cellIs" dxfId="24" priority="21" operator="equal">
      <formula>"no aplica"</formula>
    </cfRule>
    <cfRule type="cellIs" dxfId="23" priority="22" operator="equal">
      <formula>"NO"</formula>
    </cfRule>
    <cfRule type="cellIs" dxfId="22" priority="23" operator="equal">
      <formula>"OK"</formula>
    </cfRule>
  </conditionalFormatting>
  <conditionalFormatting sqref="M17:M19">
    <cfRule type="cellIs" dxfId="21" priority="24" operator="equal">
      <formula>"Ok"</formula>
    </cfRule>
    <cfRule type="cellIs" dxfId="20" priority="25" operator="equal">
      <formula>"No"</formula>
    </cfRule>
  </conditionalFormatting>
  <conditionalFormatting sqref="I14:K14 M14">
    <cfRule type="cellIs" dxfId="19" priority="26" operator="equal">
      <formula>"Revisar"</formula>
    </cfRule>
    <cfRule type="cellIs" dxfId="18" priority="27" operator="equal">
      <formula>"Ok"</formula>
    </cfRule>
    <cfRule type="cellIs" dxfId="17" priority="28" operator="equal">
      <formula>"No Aplica"</formula>
    </cfRule>
  </conditionalFormatting>
  <conditionalFormatting sqref="I13:K13 M13">
    <cfRule type="cellIs" dxfId="16" priority="29" operator="equal">
      <formula>"No"</formula>
    </cfRule>
    <cfRule type="cellIs" dxfId="15" priority="30" operator="equal">
      <formula>"Ok"</formula>
    </cfRule>
  </conditionalFormatting>
  <conditionalFormatting sqref="I12:K12 M12">
    <cfRule type="cellIs" dxfId="14" priority="31" operator="equal">
      <formula>$F$10</formula>
    </cfRule>
    <cfRule type="cellIs" dxfId="13" priority="32" operator="lessThan">
      <formula>$F$10</formula>
    </cfRule>
    <cfRule type="cellIs" dxfId="12" priority="33" operator="greaterThan">
      <formula>$F$10</formula>
    </cfRule>
  </conditionalFormatting>
  <conditionalFormatting sqref="I17:K17">
    <cfRule type="cellIs" dxfId="11" priority="34" operator="equal">
      <formula>"Ok"</formula>
    </cfRule>
    <cfRule type="cellIs" dxfId="10" priority="35" operator="equal">
      <formula>"No"</formula>
    </cfRule>
  </conditionalFormatting>
  <conditionalFormatting sqref="I15:K15 I22:K23 I26:K27 I30:K31 I37:K39 M15 M22:M23 M26:M27 M30:M31">
    <cfRule type="cellIs" dxfId="9" priority="36" operator="equal">
      <formula>"Revisar"</formula>
    </cfRule>
    <cfRule type="cellIs" dxfId="8" priority="37" operator="equal">
      <formula>"no aplica"</formula>
    </cfRule>
    <cfRule type="cellIs" dxfId="7" priority="38" operator="equal">
      <formula>"NO"</formula>
    </cfRule>
    <cfRule type="cellIs" dxfId="6" priority="39" operator="equal">
      <formula>"OK"</formula>
    </cfRule>
  </conditionalFormatting>
  <conditionalFormatting sqref="M11">
    <cfRule type="cellIs" dxfId="5" priority="40" operator="lessThan">
      <formula>0</formula>
    </cfRule>
  </conditionalFormatting>
  <conditionalFormatting sqref="I11:K11">
    <cfRule type="cellIs" dxfId="4" priority="41" operator="lessThan">
      <formula>0</formula>
    </cfRule>
  </conditionalFormatting>
  <conditionalFormatting sqref="I16:K16 M16 M37:M39">
    <cfRule type="cellIs" dxfId="3" priority="42" operator="equal">
      <formula>"Ok"</formula>
    </cfRule>
    <cfRule type="cellIs" dxfId="2" priority="43" operator="equal">
      <formula>"No"</formula>
    </cfRule>
  </conditionalFormatting>
  <pageMargins left="0.23611111111111099" right="0.23611111111111099" top="0.74791666666666701" bottom="0.74791666666666701" header="0.511811023622047" footer="0.511811023622047"/>
  <pageSetup scale="70"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9"/>
  <sheetViews>
    <sheetView tabSelected="1" zoomScaleNormal="100" workbookViewId="0">
      <selection activeCell="M7" sqref="M7"/>
    </sheetView>
  </sheetViews>
  <sheetFormatPr baseColWidth="10" defaultColWidth="10.6328125" defaultRowHeight="14.5"/>
  <cols>
    <col min="1" max="1" width="30" style="1" customWidth="1"/>
    <col min="2" max="3" width="12" style="1" customWidth="1"/>
    <col min="4" max="4" width="10" style="1" customWidth="1"/>
    <col min="5" max="5" width="11" style="1" customWidth="1"/>
    <col min="6" max="6" width="12" style="1" customWidth="1"/>
    <col min="7" max="7" width="10" style="1" customWidth="1"/>
    <col min="8" max="8" width="11" style="1" customWidth="1"/>
    <col min="9" max="9" width="12" style="1" customWidth="1"/>
    <col min="10" max="10" width="10" style="1" customWidth="1"/>
    <col min="11" max="11" width="11" style="1" customWidth="1"/>
    <col min="12" max="12" width="12" style="1" customWidth="1"/>
    <col min="13" max="13" width="10" style="1" customWidth="1"/>
    <col min="14" max="14" width="11" style="1" customWidth="1"/>
  </cols>
  <sheetData>
    <row r="1" spans="1:14" ht="14.25" customHeight="1">
      <c r="A1" s="255" t="s">
        <v>217</v>
      </c>
      <c r="B1" s="256" t="s">
        <v>218</v>
      </c>
      <c r="C1" s="338" t="s">
        <v>219</v>
      </c>
      <c r="D1" s="338"/>
      <c r="E1" s="338"/>
      <c r="F1" s="339" t="s">
        <v>220</v>
      </c>
      <c r="G1" s="339"/>
      <c r="H1" s="339"/>
      <c r="I1" s="338" t="s">
        <v>221</v>
      </c>
      <c r="J1" s="338"/>
      <c r="K1" s="338"/>
      <c r="L1" s="339" t="s">
        <v>222</v>
      </c>
      <c r="M1" s="339"/>
      <c r="N1" s="339"/>
    </row>
    <row r="2" spans="1:14" ht="15" customHeight="1">
      <c r="A2" s="256"/>
      <c r="B2" s="256"/>
      <c r="C2" s="256" t="s">
        <v>223</v>
      </c>
      <c r="D2" s="256" t="s">
        <v>19</v>
      </c>
      <c r="E2" s="256" t="s">
        <v>224</v>
      </c>
      <c r="F2" s="256" t="s">
        <v>223</v>
      </c>
      <c r="G2" s="256" t="s">
        <v>19</v>
      </c>
      <c r="H2" s="256" t="s">
        <v>224</v>
      </c>
      <c r="I2" s="256" t="s">
        <v>223</v>
      </c>
      <c r="J2" s="256" t="s">
        <v>19</v>
      </c>
      <c r="K2" s="256" t="s">
        <v>224</v>
      </c>
      <c r="L2" s="256" t="s">
        <v>223</v>
      </c>
      <c r="M2" s="256" t="s">
        <v>19</v>
      </c>
      <c r="N2" s="256" t="s">
        <v>224</v>
      </c>
    </row>
    <row r="3" spans="1:14" ht="14.25" customHeight="1">
      <c r="A3" s="257" t="s">
        <v>317</v>
      </c>
      <c r="B3" s="258">
        <v>1</v>
      </c>
      <c r="C3" s="259">
        <v>1500000</v>
      </c>
      <c r="D3" s="259">
        <v>79306</v>
      </c>
      <c r="E3" s="291">
        <f t="shared" ref="E3:E7" si="0">IF(C3=0,0,MIN(D3/C3,1))</f>
        <v>5.287066666666667E-2</v>
      </c>
      <c r="F3" s="259">
        <v>1500000</v>
      </c>
      <c r="G3" s="259">
        <v>427977</v>
      </c>
      <c r="H3" s="260">
        <f t="shared" ref="H3:H8" si="1">IF(F3=0,0,MIN(G3/F3,1))</f>
        <v>0.28531800000000002</v>
      </c>
      <c r="I3" s="259">
        <v>150000</v>
      </c>
      <c r="J3" s="259">
        <v>28545</v>
      </c>
      <c r="K3" s="291">
        <f t="shared" ref="K3:K8" si="2">IF(I3=0,0,MIN(J3/I3,1))</f>
        <v>0.1903</v>
      </c>
      <c r="L3" s="259">
        <v>150000</v>
      </c>
      <c r="M3" s="259">
        <v>16329</v>
      </c>
      <c r="N3" s="291">
        <f t="shared" ref="N3:N8" si="3">IF(L3=0,0,MIN(M3/L3,1))</f>
        <v>0.10886</v>
      </c>
    </row>
    <row r="4" spans="1:14" ht="14.25" customHeight="1">
      <c r="A4" s="257" t="s">
        <v>225</v>
      </c>
      <c r="B4" s="258">
        <v>0.05</v>
      </c>
      <c r="C4" s="259">
        <v>20</v>
      </c>
      <c r="D4" s="259">
        <v>9</v>
      </c>
      <c r="E4" s="291">
        <f t="shared" si="0"/>
        <v>0.45</v>
      </c>
      <c r="F4" s="259">
        <v>20</v>
      </c>
      <c r="G4" s="259">
        <v>0</v>
      </c>
      <c r="H4" s="260">
        <f t="shared" si="1"/>
        <v>0</v>
      </c>
      <c r="I4" s="259">
        <v>20</v>
      </c>
      <c r="J4" s="259">
        <v>26</v>
      </c>
      <c r="K4" s="291">
        <f t="shared" si="2"/>
        <v>1</v>
      </c>
      <c r="L4" s="259">
        <v>20</v>
      </c>
      <c r="M4" s="259">
        <v>13</v>
      </c>
      <c r="N4" s="291">
        <f t="shared" si="3"/>
        <v>0.65</v>
      </c>
    </row>
    <row r="5" spans="1:14" ht="14.25" customHeight="1">
      <c r="A5" s="257" t="s">
        <v>226</v>
      </c>
      <c r="B5" s="258">
        <v>0.05</v>
      </c>
      <c r="C5" s="259">
        <v>4</v>
      </c>
      <c r="D5" s="259">
        <v>2</v>
      </c>
      <c r="E5" s="291">
        <f t="shared" si="0"/>
        <v>0.5</v>
      </c>
      <c r="F5" s="259">
        <v>4</v>
      </c>
      <c r="G5" s="259">
        <v>2</v>
      </c>
      <c r="H5" s="260">
        <f t="shared" si="1"/>
        <v>0.5</v>
      </c>
      <c r="I5" s="259">
        <v>10</v>
      </c>
      <c r="J5" s="259">
        <v>10</v>
      </c>
      <c r="K5" s="291">
        <f t="shared" si="2"/>
        <v>1</v>
      </c>
      <c r="L5" s="259">
        <v>10</v>
      </c>
      <c r="M5" s="259">
        <v>4</v>
      </c>
      <c r="N5" s="291">
        <f t="shared" si="3"/>
        <v>0.4</v>
      </c>
    </row>
    <row r="6" spans="1:14" ht="14.25" customHeight="1">
      <c r="A6" s="257" t="s">
        <v>227</v>
      </c>
      <c r="B6" s="258">
        <v>0.2</v>
      </c>
      <c r="C6" s="259">
        <v>4</v>
      </c>
      <c r="D6" s="259">
        <v>0</v>
      </c>
      <c r="E6" s="291">
        <f>IF(C6=0,0,MIN(D6/C6,1))</f>
        <v>0</v>
      </c>
      <c r="F6" s="259">
        <v>4</v>
      </c>
      <c r="G6" s="259">
        <v>0</v>
      </c>
      <c r="H6" s="260">
        <f t="shared" si="1"/>
        <v>0</v>
      </c>
      <c r="I6" s="259">
        <v>3</v>
      </c>
      <c r="J6" s="259">
        <v>2</v>
      </c>
      <c r="K6" s="291">
        <f t="shared" si="2"/>
        <v>0.66666666666666663</v>
      </c>
      <c r="L6" s="259">
        <v>3</v>
      </c>
      <c r="M6" s="259">
        <v>2</v>
      </c>
      <c r="N6" s="291">
        <f t="shared" si="3"/>
        <v>0.66666666666666663</v>
      </c>
    </row>
    <row r="7" spans="1:14" ht="14.25" customHeight="1">
      <c r="A7" s="257" t="s">
        <v>228</v>
      </c>
      <c r="B7" s="258">
        <v>0.1</v>
      </c>
      <c r="C7" s="259">
        <v>8</v>
      </c>
      <c r="D7" s="259">
        <v>2</v>
      </c>
      <c r="E7" s="291">
        <f t="shared" si="0"/>
        <v>0.25</v>
      </c>
      <c r="F7" s="259">
        <v>8</v>
      </c>
      <c r="G7" s="259">
        <v>5</v>
      </c>
      <c r="H7" s="260">
        <f t="shared" si="1"/>
        <v>0.625</v>
      </c>
      <c r="I7" s="259">
        <v>1</v>
      </c>
      <c r="J7" s="259">
        <v>0</v>
      </c>
      <c r="K7" s="291">
        <f t="shared" si="2"/>
        <v>0</v>
      </c>
      <c r="L7" s="259">
        <v>0</v>
      </c>
      <c r="M7" s="259">
        <v>0</v>
      </c>
      <c r="N7" s="291">
        <f t="shared" si="3"/>
        <v>0</v>
      </c>
    </row>
    <row r="8" spans="1:14" ht="15" customHeight="1">
      <c r="A8" s="257" t="s">
        <v>229</v>
      </c>
      <c r="B8" s="258">
        <v>0.6</v>
      </c>
      <c r="C8" s="259">
        <v>5</v>
      </c>
      <c r="D8" s="259">
        <v>0</v>
      </c>
      <c r="E8" s="291">
        <f>IF(C8=0,0,MIN(D8/C8,1))</f>
        <v>0</v>
      </c>
      <c r="F8" s="259">
        <v>5</v>
      </c>
      <c r="G8" s="259">
        <v>0</v>
      </c>
      <c r="H8" s="260">
        <f t="shared" si="1"/>
        <v>0</v>
      </c>
      <c r="I8" s="259">
        <v>2</v>
      </c>
      <c r="J8" s="259">
        <v>0</v>
      </c>
      <c r="K8" s="291">
        <f t="shared" si="2"/>
        <v>0</v>
      </c>
      <c r="L8" s="259">
        <v>2</v>
      </c>
      <c r="M8" s="259">
        <v>0</v>
      </c>
      <c r="N8" s="291">
        <f t="shared" si="3"/>
        <v>0</v>
      </c>
    </row>
    <row r="9" spans="1:14" ht="15" customHeight="1"/>
    <row r="10" spans="1:14" s="40" customFormat="1" ht="28.75" customHeight="1">
      <c r="A10" s="261" t="s">
        <v>316</v>
      </c>
      <c r="B10" s="262">
        <f>SUM(B4:B8)</f>
        <v>1</v>
      </c>
      <c r="C10" s="340"/>
      <c r="D10" s="340"/>
      <c r="E10" s="340"/>
      <c r="F10" s="340"/>
      <c r="G10" s="340"/>
      <c r="H10" s="340"/>
    </row>
    <row r="11" spans="1:14" ht="18" customHeight="1">
      <c r="A11" s="261" t="s">
        <v>230</v>
      </c>
      <c r="D11" s="262">
        <f>SUMPRODUCT($B$3:$B$8,E3:E8)</f>
        <v>0.12537066666666666</v>
      </c>
      <c r="G11" s="262">
        <f>SUMPRODUCT($B$3:$B$8,H3:H8)</f>
        <v>0.37281800000000004</v>
      </c>
      <c r="J11" s="262">
        <f>SUMPRODUCT($B$3:$B$8,K3:K8)</f>
        <v>0.42363333333333331</v>
      </c>
      <c r="M11" s="262">
        <f>SUMPRODUCT($B$3:$B$8,N3:N8)</f>
        <v>0.29469333333333336</v>
      </c>
    </row>
    <row r="12" spans="1:14" ht="28.75" customHeight="1">
      <c r="A12" s="263" t="s">
        <v>231</v>
      </c>
      <c r="D12" s="264">
        <v>0.7</v>
      </c>
      <c r="G12" s="264">
        <v>0.7</v>
      </c>
      <c r="J12" s="264">
        <v>0.7</v>
      </c>
      <c r="M12" s="264">
        <v>0.7</v>
      </c>
    </row>
    <row r="13" spans="1:14" ht="26.25" customHeight="1">
      <c r="A13" s="263" t="s">
        <v>232</v>
      </c>
      <c r="D13" s="265">
        <v>10000</v>
      </c>
      <c r="G13" s="265">
        <v>10000</v>
      </c>
      <c r="J13" s="265">
        <v>10000</v>
      </c>
      <c r="M13" s="265">
        <v>10000</v>
      </c>
    </row>
    <row r="14" spans="1:14" ht="29.25" customHeight="1">
      <c r="A14" s="266" t="s">
        <v>314</v>
      </c>
      <c r="D14" s="267">
        <f>IF(D11&gt;=D12,D11*D13,0)</f>
        <v>0</v>
      </c>
      <c r="G14" s="267">
        <f>IF(G11&gt;=G12,G11*G13,0)</f>
        <v>0</v>
      </c>
      <c r="J14" s="267">
        <f>IF(J11&gt;=J12,J11*J13,0)</f>
        <v>0</v>
      </c>
      <c r="M14" s="267">
        <f>IF(M11&gt;=M12,M11*M13,0)</f>
        <v>0</v>
      </c>
    </row>
    <row r="15" spans="1:14" ht="29.25" customHeight="1">
      <c r="A15" s="299" t="s">
        <v>315</v>
      </c>
      <c r="D15" s="300">
        <f>IF(E3=100%, D14*1%, D14*0.8%)</f>
        <v>0</v>
      </c>
      <c r="G15" s="300">
        <f>IF(H3=100%, G14*1%, G14*0.8%)</f>
        <v>0</v>
      </c>
      <c r="J15" s="300">
        <f>IF(K3=100%, J14*1%, J14*0.8%)</f>
        <v>0</v>
      </c>
      <c r="M15" s="300">
        <f>IF(N3=100%, M14*1%, M14*0.8%)</f>
        <v>0</v>
      </c>
    </row>
    <row r="16" spans="1:14" ht="29.25" customHeight="1">
      <c r="A16" s="299" t="s">
        <v>313</v>
      </c>
      <c r="D16" s="300">
        <f>D15+D14</f>
        <v>0</v>
      </c>
      <c r="G16" s="300">
        <f>G15+G14</f>
        <v>0</v>
      </c>
      <c r="J16" s="300">
        <f>J15+J14</f>
        <v>0</v>
      </c>
      <c r="M16" s="300">
        <f>M15+M14</f>
        <v>0</v>
      </c>
    </row>
    <row r="18" spans="1:14" ht="14.25" customHeight="1">
      <c r="A18" s="331" t="s">
        <v>312</v>
      </c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</row>
    <row r="19" spans="1:14" ht="14.25" customHeight="1">
      <c r="A19" s="255" t="s">
        <v>234</v>
      </c>
      <c r="B19" s="255"/>
      <c r="C19" s="333" t="s">
        <v>235</v>
      </c>
      <c r="D19" s="334"/>
      <c r="E19" s="334"/>
      <c r="F19" s="335" t="s">
        <v>236</v>
      </c>
      <c r="G19" s="335"/>
      <c r="H19" s="336"/>
      <c r="I19" s="337" t="s">
        <v>237</v>
      </c>
      <c r="J19" s="334"/>
      <c r="K19" s="334"/>
    </row>
    <row r="20" spans="1:14" ht="16.25" customHeight="1">
      <c r="A20" s="293" t="s">
        <v>238</v>
      </c>
      <c r="B20" s="297">
        <v>0.5</v>
      </c>
      <c r="C20" s="259">
        <v>4</v>
      </c>
      <c r="D20" s="289">
        <v>3</v>
      </c>
      <c r="E20" s="292">
        <f>IF(C20=0,0,MIN(D20/C20,1))</f>
        <v>0.75</v>
      </c>
      <c r="F20" s="290">
        <v>8</v>
      </c>
      <c r="G20" s="289">
        <v>4</v>
      </c>
      <c r="H20" s="260">
        <f t="shared" ref="H20:H23" si="4">IF(F20=0,0,MIN(G20/F20,1))</f>
        <v>0.5</v>
      </c>
      <c r="I20" s="290">
        <v>6</v>
      </c>
      <c r="J20" s="259">
        <v>5</v>
      </c>
      <c r="K20" s="291">
        <f>IF(I20=0,0,MIN(J20/I20,1))</f>
        <v>0.83333333333333337</v>
      </c>
    </row>
    <row r="21" spans="1:14" ht="16.75" customHeight="1">
      <c r="A21" s="294" t="s">
        <v>239</v>
      </c>
      <c r="B21" s="45">
        <v>0.3</v>
      </c>
      <c r="C21" s="259">
        <v>3</v>
      </c>
      <c r="D21" s="289">
        <v>2</v>
      </c>
      <c r="E21" s="291">
        <f t="shared" ref="E21:E23" si="5">IF(C21=0,0,MIN(D21/C21,1))</f>
        <v>0.66666666666666663</v>
      </c>
      <c r="F21" s="290">
        <v>6</v>
      </c>
      <c r="G21" s="289">
        <v>4</v>
      </c>
      <c r="H21" s="260">
        <f t="shared" si="4"/>
        <v>0.66666666666666663</v>
      </c>
      <c r="I21" s="290">
        <v>5</v>
      </c>
      <c r="J21" s="259">
        <v>5</v>
      </c>
      <c r="K21" s="291">
        <f t="shared" ref="K21:K23" si="6">IF(I21=0,0,MIN(J21/I21,1))</f>
        <v>1</v>
      </c>
    </row>
    <row r="22" spans="1:14" ht="27.75" customHeight="1">
      <c r="A22" s="295" t="s">
        <v>240</v>
      </c>
      <c r="B22" s="45">
        <v>0.1</v>
      </c>
      <c r="C22" s="259">
        <v>4</v>
      </c>
      <c r="D22" s="289">
        <v>2</v>
      </c>
      <c r="E22" s="291">
        <f t="shared" si="5"/>
        <v>0.5</v>
      </c>
      <c r="F22" s="290">
        <v>7</v>
      </c>
      <c r="G22" s="289">
        <v>4</v>
      </c>
      <c r="H22" s="260">
        <f t="shared" si="4"/>
        <v>0.5714285714285714</v>
      </c>
      <c r="I22" s="290">
        <v>6</v>
      </c>
      <c r="J22" s="259">
        <v>5</v>
      </c>
      <c r="K22" s="291">
        <f t="shared" si="6"/>
        <v>0.83333333333333337</v>
      </c>
    </row>
    <row r="23" spans="1:14" ht="30" customHeight="1">
      <c r="A23" s="296" t="s">
        <v>241</v>
      </c>
      <c r="B23" s="298">
        <v>0.1</v>
      </c>
      <c r="C23" s="259">
        <v>4</v>
      </c>
      <c r="D23" s="289">
        <v>2</v>
      </c>
      <c r="E23" s="291">
        <f t="shared" si="5"/>
        <v>0.5</v>
      </c>
      <c r="F23" s="290">
        <v>6</v>
      </c>
      <c r="G23" s="289">
        <v>5</v>
      </c>
      <c r="H23" s="260">
        <f t="shared" si="4"/>
        <v>0.83333333333333337</v>
      </c>
      <c r="I23" s="290">
        <v>6</v>
      </c>
      <c r="J23" s="259">
        <v>4</v>
      </c>
      <c r="K23" s="291">
        <f t="shared" si="6"/>
        <v>0.66666666666666663</v>
      </c>
    </row>
    <row r="24" spans="1:14" ht="14.25" customHeight="1">
      <c r="A24" s="1" t="s">
        <v>31</v>
      </c>
    </row>
    <row r="25" spans="1:14">
      <c r="A25" s="261" t="s">
        <v>318</v>
      </c>
      <c r="B25" s="262">
        <f>SUM(B20:B23)</f>
        <v>1</v>
      </c>
    </row>
    <row r="26" spans="1:14" ht="19.75" customHeight="1">
      <c r="A26" s="261" t="s">
        <v>230</v>
      </c>
      <c r="D26" s="262">
        <f>SUMPRODUCT($B$20:$B$23,E20:E23)</f>
        <v>0.67500000000000004</v>
      </c>
      <c r="G26" s="262">
        <f>SUMPRODUCT($B$20:$B$23,H20:H23)</f>
        <v>0.59047619047619049</v>
      </c>
      <c r="J26" s="262">
        <f>SUMPRODUCT($B$20:$B$23,K20:K23)</f>
        <v>0.8666666666666667</v>
      </c>
    </row>
    <row r="27" spans="1:14" ht="26">
      <c r="A27" s="263" t="s">
        <v>231</v>
      </c>
      <c r="D27" s="264">
        <v>0.7</v>
      </c>
      <c r="G27" s="264">
        <v>0.7</v>
      </c>
      <c r="J27" s="264">
        <v>0.7</v>
      </c>
    </row>
    <row r="28" spans="1:14" ht="18" customHeight="1">
      <c r="A28" s="263" t="s">
        <v>232</v>
      </c>
      <c r="D28" s="265">
        <v>35000</v>
      </c>
      <c r="G28" s="265">
        <v>3000</v>
      </c>
      <c r="J28" s="265">
        <v>5000</v>
      </c>
    </row>
    <row r="29" spans="1:14" ht="21.65" customHeight="1">
      <c r="A29" s="266" t="s">
        <v>233</v>
      </c>
      <c r="D29" s="267">
        <f>IF(D26&gt;=D27,D26*D28,0)</f>
        <v>0</v>
      </c>
      <c r="G29" s="267">
        <f>IF(G26&gt;=G27,G26*G28,0)</f>
        <v>0</v>
      </c>
      <c r="J29" s="267">
        <f>IF(J26&gt;=J27,J26*J28,0)</f>
        <v>4333.333333333333</v>
      </c>
    </row>
  </sheetData>
  <mergeCells count="11">
    <mergeCell ref="A18:N18"/>
    <mergeCell ref="C19:E19"/>
    <mergeCell ref="F19:H19"/>
    <mergeCell ref="I19:K19"/>
    <mergeCell ref="C1:E1"/>
    <mergeCell ref="F1:H1"/>
    <mergeCell ref="I1:K1"/>
    <mergeCell ref="L1:N1"/>
    <mergeCell ref="C10:D10"/>
    <mergeCell ref="E10:F10"/>
    <mergeCell ref="G10:H10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F657-5C3F-480F-8E50-43DB4C2A9488}">
  <dimension ref="A1:A12"/>
  <sheetViews>
    <sheetView workbookViewId="0">
      <selection activeCell="F18" sqref="F18"/>
    </sheetView>
  </sheetViews>
  <sheetFormatPr baseColWidth="10" defaultRowHeight="14.5"/>
  <cols>
    <col min="1" max="1" width="12.90625" customWidth="1"/>
    <col min="2" max="2" width="13.36328125" customWidth="1"/>
  </cols>
  <sheetData>
    <row r="1" spans="1:1">
      <c r="A1" t="s">
        <v>303</v>
      </c>
    </row>
    <row r="2" spans="1:1">
      <c r="A2" s="287"/>
    </row>
    <row r="3" spans="1:1">
      <c r="A3" s="288" t="s">
        <v>304</v>
      </c>
    </row>
    <row r="4" spans="1:1">
      <c r="A4" s="288" t="s">
        <v>305</v>
      </c>
    </row>
    <row r="6" spans="1:1">
      <c r="A6" t="s">
        <v>306</v>
      </c>
    </row>
    <row r="7" spans="1:1">
      <c r="A7" s="287"/>
    </row>
    <row r="8" spans="1:1">
      <c r="A8" s="288" t="s">
        <v>307</v>
      </c>
    </row>
    <row r="9" spans="1:1">
      <c r="A9" s="288" t="s">
        <v>308</v>
      </c>
    </row>
    <row r="10" spans="1:1">
      <c r="A10" s="288" t="s">
        <v>309</v>
      </c>
    </row>
    <row r="11" spans="1:1">
      <c r="A11" s="288" t="s">
        <v>310</v>
      </c>
    </row>
    <row r="12" spans="1:1">
      <c r="A12" s="288" t="s">
        <v>311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0" sqref="B10"/>
    </sheetView>
  </sheetViews>
  <sheetFormatPr baseColWidth="10" defaultColWidth="10.6328125" defaultRowHeight="14.5"/>
  <cols>
    <col min="1" max="1" width="13.1796875" style="1" customWidth="1"/>
    <col min="2" max="2" width="30.1796875" style="1" customWidth="1"/>
    <col min="5" max="6" width="11.453125" style="1" hidden="1" customWidth="1"/>
    <col min="10" max="10" width="11.81640625" style="1" hidden="1" customWidth="1"/>
    <col min="11" max="11" width="11.453125" style="1" hidden="1" customWidth="1"/>
    <col min="12" max="12" width="6.54296875" style="2" customWidth="1"/>
    <col min="13" max="23" width="9.81640625" style="2" customWidth="1"/>
    <col min="24" max="24" width="20.1796875" style="1" customWidth="1"/>
    <col min="25" max="25" width="5.81640625" style="1" customWidth="1"/>
    <col min="26" max="26" width="38.453125" style="1" customWidth="1"/>
  </cols>
  <sheetData>
    <row r="1" spans="1:26" ht="14.25" customHeight="1">
      <c r="A1" s="268">
        <f ca="1">NOW()</f>
        <v>46251.716919675928</v>
      </c>
      <c r="M1" s="269">
        <f>COUNTIF($M$5:$M$9,"R")/COUNTA($M$5:$M$9)</f>
        <v>0.75</v>
      </c>
      <c r="N1" s="269">
        <f>COUNTIF($N$5:$N$9,"R")/COUNTA($N$5:$N$9)</f>
        <v>0.75</v>
      </c>
      <c r="O1" s="269">
        <f>COUNTIF($O$5:$O$9,"R")/COUNTA($O$5:$O$9)</f>
        <v>0.75</v>
      </c>
      <c r="P1" s="269">
        <f>COUNTIF($P$5:$P$9,"R")/COUNTA($P$5:$P$9)</f>
        <v>0.75</v>
      </c>
      <c r="Q1" s="269">
        <f>COUNTIF($Q$5:$Q$9,"R")/COUNTA($Q$5:$Q$9)</f>
        <v>0.5</v>
      </c>
      <c r="R1" s="269">
        <f>COUNTIF($R$5:$R$9,"R")/COUNTA($R$5:$R$9)</f>
        <v>0.25</v>
      </c>
      <c r="S1" s="269">
        <f>COUNTIF($S$5:$S$9,"R")/COUNTA($S$5:$S$9)</f>
        <v>0.5</v>
      </c>
      <c r="T1" s="269">
        <f>COUNTIF($T$5:$T$9,"R")/COUNTA($T$5:$T$9)</f>
        <v>0.5</v>
      </c>
      <c r="U1" s="269">
        <f>COUNTIF($U$5:$U$9,"R")/COUNTA($U$5:$U$9)</f>
        <v>0.5</v>
      </c>
      <c r="V1" s="269">
        <f>COUNTIF($V$5:$V$9,"R")/COUNTA($V$5:$V$9)</f>
        <v>0.25</v>
      </c>
      <c r="W1" s="269">
        <f>COUNTIF($W$5:$W$9,"R")/COUNTA($W$5:$W$9)</f>
        <v>0.25</v>
      </c>
    </row>
    <row r="2" spans="1:26" ht="87.75" customHeight="1"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</row>
    <row r="3" spans="1:26" ht="7.5" customHeight="1"/>
    <row r="4" spans="1:26" s="274" customFormat="1" ht="20.25" customHeight="1">
      <c r="A4" s="271" t="s">
        <v>242</v>
      </c>
      <c r="B4" s="271" t="s">
        <v>243</v>
      </c>
      <c r="C4" s="271" t="s">
        <v>244</v>
      </c>
      <c r="D4" s="271" t="s">
        <v>245</v>
      </c>
      <c r="E4" s="271" t="s">
        <v>246</v>
      </c>
      <c r="F4" s="271" t="s">
        <v>247</v>
      </c>
      <c r="G4" s="271" t="s">
        <v>248</v>
      </c>
      <c r="H4" s="271" t="s">
        <v>249</v>
      </c>
      <c r="I4" s="271" t="s">
        <v>250</v>
      </c>
      <c r="J4" s="271" t="s">
        <v>18</v>
      </c>
      <c r="K4" s="271" t="s">
        <v>251</v>
      </c>
      <c r="L4" s="272" t="s">
        <v>252</v>
      </c>
      <c r="M4" s="273" t="s">
        <v>253</v>
      </c>
      <c r="N4" s="273" t="s">
        <v>254</v>
      </c>
      <c r="O4" s="273" t="s">
        <v>255</v>
      </c>
      <c r="P4" s="273" t="s">
        <v>256</v>
      </c>
      <c r="Q4" s="273" t="s">
        <v>257</v>
      </c>
      <c r="R4" s="273" t="s">
        <v>258</v>
      </c>
      <c r="S4" s="273" t="s">
        <v>259</v>
      </c>
      <c r="T4" s="273" t="s">
        <v>260</v>
      </c>
      <c r="U4" s="273" t="s">
        <v>261</v>
      </c>
      <c r="V4" s="273" t="s">
        <v>262</v>
      </c>
      <c r="W4" s="273" t="s">
        <v>263</v>
      </c>
      <c r="X4" s="273" t="s">
        <v>264</v>
      </c>
      <c r="Y4" s="273" t="s">
        <v>265</v>
      </c>
      <c r="Z4" s="273" t="s">
        <v>266</v>
      </c>
    </row>
    <row r="5" spans="1:26" ht="14.25" customHeight="1">
      <c r="A5" s="275" t="s">
        <v>267</v>
      </c>
      <c r="B5" s="275" t="s">
        <v>268</v>
      </c>
      <c r="C5" s="275" t="s">
        <v>269</v>
      </c>
      <c r="D5" s="275" t="s">
        <v>270</v>
      </c>
      <c r="E5" s="275" t="s">
        <v>271</v>
      </c>
      <c r="F5" s="275" t="s">
        <v>272</v>
      </c>
      <c r="G5" s="276">
        <v>45117</v>
      </c>
      <c r="H5" s="276">
        <v>45117</v>
      </c>
      <c r="I5" s="276">
        <v>45138</v>
      </c>
      <c r="J5" s="275">
        <v>0</v>
      </c>
      <c r="K5" s="275" t="s">
        <v>273</v>
      </c>
      <c r="L5" s="277" t="s">
        <v>274</v>
      </c>
      <c r="M5" s="278" t="s">
        <v>275</v>
      </c>
      <c r="N5" s="278" t="s">
        <v>275</v>
      </c>
      <c r="O5" s="278" t="s">
        <v>275</v>
      </c>
      <c r="P5" s="278" t="s">
        <v>275</v>
      </c>
      <c r="Q5" s="278" t="s">
        <v>275</v>
      </c>
      <c r="R5" s="278" t="s">
        <v>275</v>
      </c>
      <c r="S5" s="278" t="s">
        <v>275</v>
      </c>
      <c r="T5" s="278" t="s">
        <v>275</v>
      </c>
      <c r="U5" s="278" t="s">
        <v>275</v>
      </c>
      <c r="V5" s="278" t="s">
        <v>275</v>
      </c>
      <c r="W5" s="278" t="s">
        <v>275</v>
      </c>
      <c r="X5" s="269">
        <f>COUNTIF(M5:W5,"R")/COUNTA(M5:W5)</f>
        <v>0</v>
      </c>
      <c r="Y5" s="49">
        <f>Tabla33[[#This Row],[Avance]]</f>
        <v>0</v>
      </c>
    </row>
    <row r="6" spans="1:26" ht="14.25" customHeight="1">
      <c r="A6" s="279" t="s">
        <v>267</v>
      </c>
      <c r="B6" s="279" t="s">
        <v>276</v>
      </c>
      <c r="C6" s="279" t="s">
        <v>277</v>
      </c>
      <c r="D6" s="279" t="s">
        <v>278</v>
      </c>
      <c r="E6" s="279"/>
      <c r="F6" s="279"/>
      <c r="G6" s="280">
        <v>45135</v>
      </c>
      <c r="H6" s="280">
        <v>45135</v>
      </c>
      <c r="I6" s="280">
        <v>45169</v>
      </c>
      <c r="J6" s="281"/>
      <c r="K6" s="281"/>
      <c r="L6" s="2" t="s">
        <v>274</v>
      </c>
      <c r="M6" s="278" t="s">
        <v>279</v>
      </c>
      <c r="N6" s="278" t="s">
        <v>279</v>
      </c>
      <c r="O6" s="278" t="s">
        <v>279</v>
      </c>
      <c r="P6" s="278" t="s">
        <v>279</v>
      </c>
      <c r="Q6" s="278" t="s">
        <v>279</v>
      </c>
      <c r="R6" s="278" t="s">
        <v>279</v>
      </c>
      <c r="S6" s="278" t="s">
        <v>279</v>
      </c>
      <c r="T6" s="278" t="s">
        <v>279</v>
      </c>
      <c r="U6" s="278" t="s">
        <v>279</v>
      </c>
      <c r="V6" s="278" t="s">
        <v>279</v>
      </c>
      <c r="W6" s="278" t="s">
        <v>275</v>
      </c>
      <c r="X6" s="269">
        <f>COUNTIF(M6:W6,"R")/COUNTA(M6:W6)</f>
        <v>0.90909090909090906</v>
      </c>
      <c r="Y6" s="49">
        <f>Tabla33[[#This Row],[Avance]]</f>
        <v>0.90909090909090906</v>
      </c>
    </row>
    <row r="7" spans="1:26" ht="14.25" customHeight="1">
      <c r="A7" s="279" t="s">
        <v>267</v>
      </c>
      <c r="B7" s="279" t="s">
        <v>280</v>
      </c>
      <c r="C7" s="279" t="s">
        <v>281</v>
      </c>
      <c r="D7" s="279" t="s">
        <v>282</v>
      </c>
      <c r="E7" s="279"/>
      <c r="F7" s="279"/>
      <c r="G7" s="280">
        <v>45124</v>
      </c>
      <c r="H7" s="280">
        <v>45126</v>
      </c>
      <c r="I7" s="280">
        <v>45139</v>
      </c>
      <c r="J7" s="281"/>
      <c r="K7" s="281"/>
      <c r="L7" s="2" t="s">
        <v>274</v>
      </c>
      <c r="M7" s="278" t="s">
        <v>279</v>
      </c>
      <c r="N7" s="278" t="s">
        <v>279</v>
      </c>
      <c r="O7" s="278" t="s">
        <v>279</v>
      </c>
      <c r="P7" s="278" t="s">
        <v>279</v>
      </c>
      <c r="Q7" s="278" t="s">
        <v>275</v>
      </c>
      <c r="R7" s="278" t="s">
        <v>275</v>
      </c>
      <c r="S7" s="278" t="s">
        <v>275</v>
      </c>
      <c r="T7" s="278" t="s">
        <v>275</v>
      </c>
      <c r="U7" s="278" t="s">
        <v>275</v>
      </c>
      <c r="V7" s="278" t="s">
        <v>275</v>
      </c>
      <c r="W7" s="278" t="s">
        <v>275</v>
      </c>
      <c r="X7" s="269">
        <f>COUNTIF(M7:W7,"R")/COUNTA(M7:W7)</f>
        <v>0.36363636363636365</v>
      </c>
      <c r="Y7" s="49">
        <f>Tabla33[[#This Row],[Avance]]</f>
        <v>0.36363636363636365</v>
      </c>
    </row>
    <row r="8" spans="1:26" ht="14.25" customHeight="1">
      <c r="A8" s="279" t="s">
        <v>267</v>
      </c>
      <c r="B8" s="279" t="s">
        <v>283</v>
      </c>
      <c r="C8" s="279" t="s">
        <v>284</v>
      </c>
      <c r="D8" s="279" t="s">
        <v>285</v>
      </c>
      <c r="E8" s="279"/>
      <c r="F8" s="279"/>
      <c r="G8" s="280">
        <v>45138</v>
      </c>
      <c r="H8" s="280">
        <v>45139</v>
      </c>
      <c r="I8" s="280">
        <v>45159</v>
      </c>
      <c r="J8" s="281"/>
      <c r="K8" s="281"/>
      <c r="L8" s="2" t="s">
        <v>274</v>
      </c>
      <c r="M8" s="278" t="s">
        <v>279</v>
      </c>
      <c r="N8" s="278" t="s">
        <v>279</v>
      </c>
      <c r="O8" s="278" t="s">
        <v>279</v>
      </c>
      <c r="P8" s="278" t="s">
        <v>279</v>
      </c>
      <c r="Q8" s="278" t="s">
        <v>279</v>
      </c>
      <c r="R8" s="278" t="s">
        <v>275</v>
      </c>
      <c r="S8" s="278" t="s">
        <v>279</v>
      </c>
      <c r="T8" s="278" t="s">
        <v>279</v>
      </c>
      <c r="U8" s="278" t="s">
        <v>279</v>
      </c>
      <c r="V8" s="278" t="s">
        <v>275</v>
      </c>
      <c r="W8" s="278" t="s">
        <v>279</v>
      </c>
      <c r="X8" s="269">
        <f>COUNTIF(M8:W8,"R")/COUNTA(M8:W8)</f>
        <v>0.81818181818181823</v>
      </c>
      <c r="Y8" s="49">
        <f>Tabla33[[#This Row],[Avance]]</f>
        <v>0.81818181818181823</v>
      </c>
    </row>
    <row r="9" spans="1:26" ht="14.25" customHeight="1">
      <c r="A9" s="279"/>
      <c r="B9" s="279"/>
      <c r="C9" s="279"/>
      <c r="D9" s="279"/>
      <c r="E9" s="279"/>
      <c r="F9" s="279"/>
      <c r="G9" s="280"/>
      <c r="H9" s="280"/>
      <c r="I9" s="280"/>
      <c r="J9" s="281"/>
      <c r="K9" s="281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69" t="e">
        <f>COUNTIF(M9:W9,"R")/COUNTA(M9:W9)</f>
        <v>#DIV/0!</v>
      </c>
      <c r="Y9" s="49" t="e">
        <f>Tabla33[[#This Row],[Avance]]</f>
        <v>#DIV/0!</v>
      </c>
    </row>
  </sheetData>
  <conditionalFormatting sqref="X5:X9">
    <cfRule type="colorScale" priority="2">
      <colorScale>
        <cfvo type="num" val="0.18"/>
        <cfvo type="num" val="0.7"/>
        <cfvo type="num" val="1"/>
        <color rgb="FFFF0000"/>
        <color rgb="FFFFCC00"/>
        <color rgb="FF008000"/>
      </colorScale>
    </cfRule>
    <cfRule type="dataBar" priority="3">
      <dataBar>
        <cfvo type="num" val="0"/>
        <cfvo type="num" val="1"/>
        <color rgb="FFD9D9D9"/>
      </dataBar>
      <extLst>
        <ext xmlns:x14="http://schemas.microsoft.com/office/spreadsheetml/2009/9/main" uri="{B025F937-C7B1-47D3-B67F-A62EFF666E3E}">
          <x14:id>{5C2F6C6E-EDA2-4730-B390-6DD611447840}</x14:id>
        </ext>
      </extLst>
    </cfRule>
  </conditionalFormatting>
  <conditionalFormatting sqref="H5:H9">
    <cfRule type="cellIs" dxfId="1" priority="4" operator="lessThan">
      <formula>$A$1</formula>
    </cfRule>
    <cfRule type="cellIs" dxfId="0" priority="5" operator="greaterThan">
      <formula>$A$1</formula>
    </cfRule>
  </conditionalFormatting>
  <conditionalFormatting sqref="Y5:Y8">
    <cfRule type="iconSet" priority="6">
      <iconSet iconSet="3Symbols" showValue="0">
        <cfvo type="percent" val="0"/>
        <cfvo type="num" val="0.37"/>
        <cfvo type="num" val="0.74"/>
      </iconSet>
    </cfRule>
  </conditionalFormatting>
  <conditionalFormatting sqref="Y9">
    <cfRule type="iconSet" priority="7">
      <iconSet iconSet="3Symbols" showValue="0">
        <cfvo type="percent" val="0"/>
        <cfvo type="num" val="0.37"/>
        <cfvo type="num" val="0.74"/>
      </iconSet>
    </cfRule>
  </conditionalFormatting>
  <pageMargins left="0.7" right="0.7" top="0.75" bottom="0.75" header="0.511811023622047" footer="0.511811023622047"/>
  <pageSetup paperSize="77" orientation="landscape" horizontalDpi="300" verticalDpi="30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2F6C6E-EDA2-4730-B390-6DD61144784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9D9D9"/>
            </x14:dataBar>
          </x14:cfRule>
          <xm:sqref>X5:X9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DD7EE"/>
    <pageSetUpPr fitToPage="1"/>
  </sheetPr>
  <dimension ref="A1:Q174"/>
  <sheetViews>
    <sheetView zoomScaleNormal="100" workbookViewId="0">
      <selection activeCell="C16" sqref="C16"/>
    </sheetView>
  </sheetViews>
  <sheetFormatPr baseColWidth="10" defaultColWidth="11.453125" defaultRowHeight="14.5"/>
  <cols>
    <col min="1" max="1" width="2.81640625" style="1" customWidth="1"/>
    <col min="2" max="2" width="11.54296875" style="1" customWidth="1"/>
    <col min="3" max="3" width="49.81640625" style="1" customWidth="1"/>
    <col min="4" max="4" width="7.54296875" style="1" customWidth="1"/>
    <col min="5" max="5" width="11.54296875" style="1" customWidth="1"/>
    <col min="6" max="6" width="8.453125" style="1" customWidth="1"/>
    <col min="7" max="7" width="49.81640625" style="1" customWidth="1"/>
    <col min="8" max="8" width="13.54296875" style="1" customWidth="1"/>
    <col min="9" max="9" width="11.54296875" style="1" customWidth="1"/>
    <col min="10" max="10" width="26" style="1" customWidth="1"/>
    <col min="11" max="11" width="11.54296875" style="1" customWidth="1"/>
    <col min="12" max="12" width="7.81640625" style="1" customWidth="1"/>
    <col min="13" max="13" width="16.1796875" style="1" customWidth="1"/>
    <col min="14" max="14" width="35.81640625" style="1" customWidth="1"/>
    <col min="15" max="15" width="10.81640625" style="1" customWidth="1"/>
    <col min="16" max="16" width="12.54296875" style="1" customWidth="1"/>
  </cols>
  <sheetData>
    <row r="1" spans="1:15" ht="25.5" customHeight="1">
      <c r="C1" s="301" t="s">
        <v>158</v>
      </c>
      <c r="D1" s="301"/>
      <c r="E1" s="301"/>
      <c r="F1" s="301"/>
      <c r="G1" s="301"/>
      <c r="H1" s="301"/>
      <c r="I1" s="301"/>
    </row>
    <row r="2" spans="1:15" ht="15" customHeight="1"/>
    <row r="3" spans="1:15" ht="21" customHeight="1">
      <c r="A3" s="2"/>
      <c r="C3" s="302" t="s">
        <v>286</v>
      </c>
      <c r="D3" s="302"/>
      <c r="E3" s="302"/>
      <c r="F3" s="302"/>
      <c r="G3" s="302"/>
      <c r="H3" s="302"/>
      <c r="I3" s="302"/>
      <c r="J3" s="302"/>
      <c r="O3" s="3"/>
    </row>
    <row r="4" spans="1:15" ht="14.25" customHeight="1">
      <c r="A4" s="2"/>
    </row>
    <row r="5" spans="1:15" ht="14.25" customHeight="1">
      <c r="A5" s="2"/>
      <c r="C5" s="303" t="s">
        <v>2</v>
      </c>
      <c r="D5" s="303"/>
      <c r="E5" s="304" t="s">
        <v>3</v>
      </c>
      <c r="F5" s="304"/>
      <c r="G5" s="303" t="s">
        <v>4</v>
      </c>
      <c r="H5" s="303"/>
      <c r="I5" s="304" t="s">
        <v>3</v>
      </c>
      <c r="J5" s="304"/>
    </row>
    <row r="6" spans="1:15" ht="14.25" customHeight="1">
      <c r="A6" s="2"/>
      <c r="B6" s="5" t="s">
        <v>5</v>
      </c>
      <c r="C6" s="6" t="s">
        <v>6</v>
      </c>
      <c r="D6" s="7" t="s">
        <v>7</v>
      </c>
      <c r="E6" s="8" t="s">
        <v>8</v>
      </c>
      <c r="F6" s="8" t="s">
        <v>9</v>
      </c>
      <c r="G6" s="6" t="s">
        <v>6</v>
      </c>
      <c r="H6" s="7" t="s">
        <v>7</v>
      </c>
      <c r="I6" s="8" t="s">
        <v>10</v>
      </c>
      <c r="J6" s="9" t="s">
        <v>9</v>
      </c>
    </row>
    <row r="7" spans="1:15" ht="14.25" customHeight="1">
      <c r="A7" s="2"/>
      <c r="B7" s="10" t="s">
        <v>287</v>
      </c>
      <c r="C7" s="11">
        <v>196014.21017530299</v>
      </c>
      <c r="D7" s="11">
        <v>217977.0839</v>
      </c>
      <c r="E7" s="11">
        <f>D7-C7</f>
        <v>21962.873724697012</v>
      </c>
      <c r="F7" s="12">
        <f>D7/C7-1</f>
        <v>0.11204735465380167</v>
      </c>
      <c r="G7" s="13">
        <v>6240810.6346627604</v>
      </c>
      <c r="H7" s="13">
        <v>6562676.8499999996</v>
      </c>
      <c r="I7" s="13">
        <f>H7-G7</f>
        <v>321866.21533723921</v>
      </c>
      <c r="J7" s="12">
        <f>H7/G7-1</f>
        <v>5.1574424250197204E-2</v>
      </c>
    </row>
    <row r="8" spans="1:15" ht="14.25" customHeight="1">
      <c r="A8" s="2"/>
    </row>
    <row r="9" spans="1:15" ht="15" customHeight="1">
      <c r="A9" s="2"/>
      <c r="B9" s="305" t="s">
        <v>12</v>
      </c>
      <c r="C9" s="305"/>
      <c r="D9" s="305"/>
      <c r="E9" s="305"/>
      <c r="F9" s="14"/>
      <c r="G9" s="306" t="s">
        <v>13</v>
      </c>
      <c r="H9" s="306"/>
      <c r="I9" s="306"/>
      <c r="J9" s="306"/>
      <c r="K9" s="306"/>
    </row>
    <row r="10" spans="1:15" ht="14.25" customHeight="1">
      <c r="A10" s="2"/>
      <c r="B10" s="9" t="s">
        <v>14</v>
      </c>
      <c r="C10" s="9" t="s">
        <v>15</v>
      </c>
      <c r="D10" s="16" t="s">
        <v>16</v>
      </c>
      <c r="E10" s="9" t="s">
        <v>17</v>
      </c>
      <c r="F10" s="17"/>
      <c r="G10" s="9" t="s">
        <v>15</v>
      </c>
      <c r="H10" s="18" t="s">
        <v>18</v>
      </c>
      <c r="I10" s="9" t="s">
        <v>19</v>
      </c>
      <c r="J10" s="9" t="s">
        <v>20</v>
      </c>
      <c r="K10" s="9" t="s">
        <v>14</v>
      </c>
      <c r="M10" s="19" t="s">
        <v>21</v>
      </c>
    </row>
    <row r="11" spans="1:15" ht="14.25" customHeight="1">
      <c r="A11" s="2"/>
      <c r="B11" s="307">
        <v>11000</v>
      </c>
      <c r="C11" s="20" t="s">
        <v>22</v>
      </c>
      <c r="D11" s="21">
        <v>0.78</v>
      </c>
      <c r="E11" s="22">
        <f>B11*D11</f>
        <v>8580</v>
      </c>
      <c r="F11" s="23"/>
      <c r="G11" s="28" t="str">
        <f>C11</f>
        <v>Cumplimiento Presupuesto</v>
      </c>
      <c r="H11" s="24">
        <f>G7</f>
        <v>6240810.6346627604</v>
      </c>
      <c r="I11" s="24">
        <f>H7</f>
        <v>6562676.8499999996</v>
      </c>
      <c r="J11" s="25">
        <f>IFERROR(I11/H11,0)</f>
        <v>1.0515744242501972</v>
      </c>
      <c r="K11" s="26">
        <f>IF(J11&lt;M11,0,J11*$E11)</f>
        <v>9022.5085600666916</v>
      </c>
      <c r="M11" s="27">
        <v>0.9</v>
      </c>
    </row>
    <row r="12" spans="1:15" ht="28.5" customHeight="1">
      <c r="A12" s="2"/>
      <c r="B12" s="307"/>
      <c r="C12" s="20" t="s">
        <v>288</v>
      </c>
      <c r="D12" s="21">
        <v>0.09</v>
      </c>
      <c r="E12" s="22">
        <f>B11*D12</f>
        <v>990</v>
      </c>
      <c r="F12" s="23"/>
      <c r="G12" s="28" t="str">
        <f>C12</f>
        <v xml:space="preserve">Desarrollo de nuevo producto para sustituación de Ligador / presentación de resultados </v>
      </c>
      <c r="H12" s="12">
        <v>1</v>
      </c>
      <c r="I12" s="12">
        <v>0.75</v>
      </c>
      <c r="J12" s="12">
        <f>I12/H12</f>
        <v>0.75</v>
      </c>
      <c r="K12" s="26">
        <f>IF(J12&lt;M12,0,J12*$E12)</f>
        <v>742.5</v>
      </c>
      <c r="M12" s="27">
        <v>0.75</v>
      </c>
    </row>
    <row r="13" spans="1:15" s="37" customFormat="1" ht="14.25" customHeight="1">
      <c r="A13" s="2"/>
      <c r="B13" s="307"/>
      <c r="C13" s="28" t="s">
        <v>289</v>
      </c>
      <c r="D13" s="58">
        <v>0.13</v>
      </c>
      <c r="E13" s="26">
        <f>+D13*B11</f>
        <v>1430</v>
      </c>
      <c r="F13" s="60"/>
      <c r="G13" s="20" t="s">
        <v>289</v>
      </c>
      <c r="H13" s="45">
        <v>1</v>
      </c>
      <c r="I13" s="45">
        <v>0.6</v>
      </c>
      <c r="J13" s="12">
        <f>I13/H13</f>
        <v>0.6</v>
      </c>
      <c r="K13" s="26">
        <f>IF(J13&lt;M13,0,J13*$E13)</f>
        <v>858</v>
      </c>
      <c r="M13" s="27">
        <v>0.6</v>
      </c>
      <c r="N13" s="283"/>
    </row>
    <row r="14" spans="1:15" ht="14.25" customHeight="1">
      <c r="A14" s="2"/>
      <c r="B14" s="29"/>
      <c r="C14" s="30" t="s">
        <v>27</v>
      </c>
      <c r="D14" s="31">
        <f>SUM(D11:D13)</f>
        <v>1</v>
      </c>
      <c r="E14" s="32">
        <f>SUM(E11:E13)</f>
        <v>11000</v>
      </c>
      <c r="F14" s="23"/>
      <c r="G14" s="33"/>
      <c r="J14" s="34" t="s">
        <v>28</v>
      </c>
      <c r="K14" s="35">
        <f>SUM(K12:K13)</f>
        <v>1600.5</v>
      </c>
      <c r="L14" s="1" t="s">
        <v>290</v>
      </c>
      <c r="M14" s="36"/>
      <c r="N14" s="37"/>
    </row>
    <row r="15" spans="1:15" ht="15" customHeight="1">
      <c r="A15" s="2"/>
      <c r="F15" s="23"/>
      <c r="M15" s="36"/>
      <c r="N15" s="37"/>
    </row>
    <row r="16" spans="1:15" ht="15" customHeight="1">
      <c r="A16" s="2"/>
      <c r="F16" s="23"/>
      <c r="J16" s="38" t="s">
        <v>29</v>
      </c>
      <c r="K16" s="39">
        <f>+K14+K11</f>
        <v>10623.008560066692</v>
      </c>
    </row>
    <row r="17" spans="1:15" ht="14.25" customHeight="1">
      <c r="A17" s="2"/>
      <c r="F17" s="33"/>
    </row>
    <row r="18" spans="1:15" ht="14.25" customHeight="1">
      <c r="A18" s="2"/>
      <c r="F18" s="33"/>
      <c r="G18" s="40" t="s">
        <v>291</v>
      </c>
    </row>
    <row r="19" spans="1:15" ht="14.25" customHeight="1">
      <c r="A19" s="2"/>
      <c r="F19" s="33"/>
      <c r="G19" s="40"/>
    </row>
    <row r="21" spans="1:15" ht="15" customHeight="1"/>
    <row r="22" spans="1:15" ht="21" customHeight="1">
      <c r="C22" s="308" t="s">
        <v>292</v>
      </c>
      <c r="D22" s="308"/>
      <c r="E22" s="308"/>
      <c r="F22" s="308"/>
      <c r="G22" s="308"/>
      <c r="H22" s="308"/>
      <c r="I22" s="308"/>
      <c r="J22" s="308"/>
    </row>
    <row r="23" spans="1:15" ht="14.25" customHeight="1">
      <c r="A23" s="2"/>
      <c r="O23" s="3"/>
    </row>
    <row r="24" spans="1:15" ht="14.25" customHeight="1">
      <c r="A24" s="2"/>
      <c r="C24" s="303" t="s">
        <v>2</v>
      </c>
      <c r="D24" s="303"/>
      <c r="E24" s="4" t="s">
        <v>3</v>
      </c>
      <c r="F24" s="4"/>
      <c r="G24" s="303" t="s">
        <v>4</v>
      </c>
      <c r="H24" s="303"/>
      <c r="I24" s="304" t="s">
        <v>3</v>
      </c>
      <c r="J24" s="304"/>
    </row>
    <row r="25" spans="1:15" ht="14.25" customHeight="1">
      <c r="A25" s="2"/>
      <c r="B25" s="5" t="s">
        <v>31</v>
      </c>
      <c r="C25" s="6" t="s">
        <v>6</v>
      </c>
      <c r="D25" s="7" t="s">
        <v>7</v>
      </c>
      <c r="E25" s="8" t="s">
        <v>8</v>
      </c>
      <c r="F25" s="8" t="s">
        <v>9</v>
      </c>
      <c r="G25" s="6" t="s">
        <v>6</v>
      </c>
      <c r="H25" s="7" t="s">
        <v>7</v>
      </c>
      <c r="I25" s="8" t="s">
        <v>10</v>
      </c>
      <c r="J25" s="9" t="s">
        <v>9</v>
      </c>
    </row>
    <row r="26" spans="1:15" ht="14.25" customHeight="1">
      <c r="A26" s="2"/>
      <c r="B26" s="10" t="s">
        <v>287</v>
      </c>
      <c r="C26" s="11">
        <v>76923.355964780203</v>
      </c>
      <c r="D26" s="11">
        <v>77385.607799999998</v>
      </c>
      <c r="E26" s="11">
        <f>D26-C26</f>
        <v>462.25183521979488</v>
      </c>
      <c r="F26" s="12">
        <f>D26/C26-1</f>
        <v>6.009252059042236E-3</v>
      </c>
      <c r="G26" s="13">
        <v>4471973.0853554104</v>
      </c>
      <c r="H26" s="13">
        <v>3708727.28</v>
      </c>
      <c r="I26" s="13">
        <f>H26-G26</f>
        <v>-763245.80535541056</v>
      </c>
      <c r="J26" s="12">
        <f>H26/G26-1</f>
        <v>-0.17067316613663197</v>
      </c>
    </row>
    <row r="27" spans="1:15" ht="14.25" customHeight="1">
      <c r="A27" s="2"/>
    </row>
    <row r="28" spans="1:15" ht="14.25" customHeight="1">
      <c r="A28" s="2"/>
      <c r="B28" s="305" t="s">
        <v>12</v>
      </c>
      <c r="C28" s="305"/>
      <c r="D28" s="305"/>
      <c r="E28" s="305"/>
      <c r="G28" s="15" t="s">
        <v>31</v>
      </c>
      <c r="H28" s="15"/>
      <c r="I28" s="15"/>
      <c r="J28" s="15"/>
      <c r="K28" s="15"/>
    </row>
    <row r="29" spans="1:15" ht="15" customHeight="1">
      <c r="A29" s="2"/>
      <c r="B29" s="9" t="s">
        <v>14</v>
      </c>
      <c r="C29" s="9" t="s">
        <v>15</v>
      </c>
      <c r="D29" s="16" t="s">
        <v>16</v>
      </c>
      <c r="E29" s="9" t="s">
        <v>17</v>
      </c>
      <c r="F29" s="14"/>
      <c r="G29" s="9" t="s">
        <v>15</v>
      </c>
      <c r="H29" s="18" t="s">
        <v>18</v>
      </c>
      <c r="I29" s="9" t="s">
        <v>19</v>
      </c>
      <c r="J29" s="9" t="s">
        <v>20</v>
      </c>
      <c r="K29" s="9" t="s">
        <v>14</v>
      </c>
      <c r="M29" s="9" t="s">
        <v>21</v>
      </c>
    </row>
    <row r="30" spans="1:15" ht="14.25" customHeight="1">
      <c r="A30" s="2"/>
      <c r="B30" s="307">
        <v>10600</v>
      </c>
      <c r="C30" s="20" t="s">
        <v>22</v>
      </c>
      <c r="D30" s="58">
        <v>0.55000000000000004</v>
      </c>
      <c r="E30" s="26">
        <f>B30*D30</f>
        <v>5830.0000000000009</v>
      </c>
      <c r="F30" s="17"/>
      <c r="G30" s="20" t="s">
        <v>22</v>
      </c>
      <c r="H30" s="41">
        <f>G26</f>
        <v>4471973.0853554104</v>
      </c>
      <c r="I30" s="41">
        <f>H26</f>
        <v>3708727.28</v>
      </c>
      <c r="J30" s="45">
        <v>0.82</v>
      </c>
      <c r="K30" s="26">
        <f>IF(J30&lt;M30,0,J30*$E30)</f>
        <v>4780.6000000000004</v>
      </c>
      <c r="M30" s="45">
        <v>0.82</v>
      </c>
    </row>
    <row r="31" spans="1:15" ht="28.5" customHeight="1">
      <c r="A31" s="2"/>
      <c r="B31" s="307"/>
      <c r="C31" s="20" t="s">
        <v>293</v>
      </c>
      <c r="D31" s="58">
        <v>0.25</v>
      </c>
      <c r="E31" s="26">
        <f>B30*D31</f>
        <v>2650</v>
      </c>
      <c r="F31" s="23"/>
      <c r="G31" s="20" t="s">
        <v>293</v>
      </c>
      <c r="H31" s="12">
        <v>1</v>
      </c>
      <c r="I31" s="12">
        <v>0.75</v>
      </c>
      <c r="J31" s="12">
        <f>I31/H31</f>
        <v>0.75</v>
      </c>
      <c r="K31" s="26">
        <f>IF(J31&lt;M31,0,J31*$E31)</f>
        <v>1987.5</v>
      </c>
      <c r="M31" s="45">
        <v>0.75</v>
      </c>
    </row>
    <row r="32" spans="1:15" ht="14.25" customHeight="1">
      <c r="A32" s="2"/>
      <c r="B32" s="307"/>
      <c r="C32" s="28" t="s">
        <v>294</v>
      </c>
      <c r="D32" s="58">
        <v>0.2</v>
      </c>
      <c r="E32" s="26">
        <f>B30*D32</f>
        <v>2120</v>
      </c>
      <c r="F32" s="23"/>
      <c r="G32" s="28" t="s">
        <v>294</v>
      </c>
      <c r="H32" s="45">
        <v>1</v>
      </c>
      <c r="I32" s="45">
        <v>0.84</v>
      </c>
      <c r="J32" s="45">
        <f>IFERROR(I32/H32,0)</f>
        <v>0.84</v>
      </c>
      <c r="K32" s="26">
        <f>IF(J32&lt;M32,0,J32*$E32)</f>
        <v>1780.8</v>
      </c>
      <c r="M32" s="45">
        <v>0.8</v>
      </c>
    </row>
    <row r="33" spans="1:14" ht="14.25" customHeight="1">
      <c r="A33" s="2"/>
      <c r="B33" s="307"/>
      <c r="C33" s="30" t="s">
        <v>27</v>
      </c>
      <c r="D33" s="47">
        <f>SUM(D29:D32)</f>
        <v>1</v>
      </c>
      <c r="E33" s="48">
        <f>SUM(E29:E32)</f>
        <v>10600</v>
      </c>
      <c r="F33" s="23"/>
      <c r="G33" s="33"/>
      <c r="I33" s="49"/>
      <c r="J33" s="34" t="s">
        <v>28</v>
      </c>
      <c r="K33" s="35">
        <f>SUM(K31:K32)</f>
        <v>3768.3</v>
      </c>
      <c r="M33" s="61"/>
      <c r="N33" s="283"/>
    </row>
    <row r="34" spans="1:14" ht="15" customHeight="1">
      <c r="A34" s="2"/>
      <c r="C34" s="50"/>
      <c r="D34" s="51"/>
      <c r="E34" s="52"/>
      <c r="F34" s="23"/>
      <c r="L34" s="1" t="s">
        <v>295</v>
      </c>
    </row>
    <row r="35" spans="1:14" ht="14.25" customHeight="1">
      <c r="A35" s="2"/>
      <c r="F35" s="23"/>
      <c r="J35" s="53" t="s">
        <v>29</v>
      </c>
      <c r="K35" s="54">
        <f>+K33+K30</f>
        <v>8548.9000000000015</v>
      </c>
    </row>
    <row r="36" spans="1:14" ht="14.25" customHeight="1">
      <c r="A36" s="2"/>
      <c r="F36" s="33"/>
      <c r="G36" s="1" t="s">
        <v>296</v>
      </c>
      <c r="J36" s="55" t="s">
        <v>35</v>
      </c>
      <c r="K36" s="22"/>
    </row>
    <row r="37" spans="1:14" ht="14.25" customHeight="1">
      <c r="A37" s="2"/>
      <c r="F37" s="33"/>
      <c r="J37" s="56" t="s">
        <v>36</v>
      </c>
      <c r="K37" s="57">
        <f>+K35-K36</f>
        <v>8548.9000000000015</v>
      </c>
    </row>
    <row r="39" spans="1:14" ht="15" customHeight="1"/>
    <row r="40" spans="1:14" ht="21" customHeight="1">
      <c r="C40" s="284" t="s">
        <v>297</v>
      </c>
      <c r="D40" s="285"/>
      <c r="E40" s="285"/>
      <c r="F40" s="285"/>
      <c r="G40" s="285"/>
      <c r="H40" s="285"/>
      <c r="I40" s="285"/>
      <c r="J40" s="286"/>
    </row>
    <row r="42" spans="1:14" ht="14.25" customHeight="1">
      <c r="C42" s="303" t="s">
        <v>2</v>
      </c>
      <c r="D42" s="303"/>
      <c r="E42" s="4" t="s">
        <v>3</v>
      </c>
      <c r="F42" s="4"/>
      <c r="G42" s="303" t="s">
        <v>4</v>
      </c>
      <c r="H42" s="303"/>
      <c r="I42" s="304" t="s">
        <v>3</v>
      </c>
      <c r="J42" s="304"/>
    </row>
    <row r="43" spans="1:14" ht="14.25" customHeight="1">
      <c r="B43" s="5" t="s">
        <v>5</v>
      </c>
      <c r="C43" s="6" t="s">
        <v>6</v>
      </c>
      <c r="D43" s="7" t="s">
        <v>7</v>
      </c>
      <c r="E43" s="8" t="s">
        <v>8</v>
      </c>
      <c r="F43" s="8" t="s">
        <v>9</v>
      </c>
      <c r="G43" s="6" t="s">
        <v>6</v>
      </c>
      <c r="H43" s="7" t="s">
        <v>7</v>
      </c>
      <c r="I43" s="8" t="s">
        <v>10</v>
      </c>
      <c r="J43" s="9" t="s">
        <v>9</v>
      </c>
    </row>
    <row r="44" spans="1:14" ht="14.25" customHeight="1">
      <c r="B44" s="10" t="s">
        <v>287</v>
      </c>
      <c r="C44" s="11">
        <v>23472.8675529633</v>
      </c>
      <c r="D44" s="11">
        <v>28712.565999999999</v>
      </c>
      <c r="E44" s="11">
        <f>D44-C44</f>
        <v>5239.6984470366988</v>
      </c>
      <c r="F44" s="12">
        <f>D44/C44-1</f>
        <v>0.22322361915151778</v>
      </c>
      <c r="G44" s="13">
        <v>1453255.2913764</v>
      </c>
      <c r="H44" s="13">
        <v>1620088.23</v>
      </c>
      <c r="I44" s="13">
        <f>H44-G44</f>
        <v>166832.93862359994</v>
      </c>
      <c r="J44" s="12">
        <f>H44/G44-1</f>
        <v>0.11479947096259324</v>
      </c>
    </row>
    <row r="46" spans="1:14" ht="14.25" customHeight="1">
      <c r="B46" s="305" t="s">
        <v>12</v>
      </c>
      <c r="C46" s="305"/>
      <c r="D46" s="305"/>
      <c r="E46" s="305"/>
      <c r="G46" s="306" t="s">
        <v>13</v>
      </c>
      <c r="H46" s="306"/>
      <c r="I46" s="306"/>
      <c r="J46" s="306"/>
      <c r="K46" s="306"/>
    </row>
    <row r="47" spans="1:14" ht="14.25" customHeight="1">
      <c r="B47" s="9" t="s">
        <v>14</v>
      </c>
      <c r="C47" s="9" t="s">
        <v>15</v>
      </c>
      <c r="D47" s="16" t="s">
        <v>16</v>
      </c>
      <c r="E47" s="9" t="s">
        <v>17</v>
      </c>
      <c r="F47" s="14"/>
      <c r="G47" s="9" t="s">
        <v>15</v>
      </c>
      <c r="H47" s="18" t="s">
        <v>18</v>
      </c>
      <c r="I47" s="9" t="s">
        <v>19</v>
      </c>
      <c r="J47" s="9" t="s">
        <v>20</v>
      </c>
      <c r="K47" s="9" t="s">
        <v>14</v>
      </c>
    </row>
    <row r="48" spans="1:14" ht="14.25" customHeight="1">
      <c r="B48" s="309">
        <v>7000</v>
      </c>
      <c r="C48" s="20" t="s">
        <v>22</v>
      </c>
      <c r="D48" s="58">
        <v>0.5</v>
      </c>
      <c r="E48" s="26">
        <f>B48*D48</f>
        <v>3500</v>
      </c>
      <c r="F48" s="17"/>
      <c r="G48" s="28" t="str">
        <f>C48</f>
        <v>Cumplimiento Presupuesto</v>
      </c>
      <c r="H48" s="41">
        <f>G44</f>
        <v>1453255.2913764</v>
      </c>
      <c r="I48" s="41">
        <f>H44</f>
        <v>1620088.23</v>
      </c>
      <c r="J48" s="45">
        <f>IFERROR(I48/H48,0)</f>
        <v>1.1147994709625932</v>
      </c>
      <c r="K48" s="26">
        <f>IF(J48&lt;M49,0,J48*$E48)</f>
        <v>3901.7981483690764</v>
      </c>
      <c r="M48" s="9" t="s">
        <v>21</v>
      </c>
    </row>
    <row r="49" spans="2:13" ht="21" customHeight="1">
      <c r="B49" s="309"/>
      <c r="C49" s="20" t="s">
        <v>38</v>
      </c>
      <c r="D49" s="58">
        <v>0.2</v>
      </c>
      <c r="E49" s="26">
        <f>B48*D49</f>
        <v>1400</v>
      </c>
      <c r="F49" s="23"/>
      <c r="G49" s="28" t="str">
        <f>C49</f>
        <v xml:space="preserve">Aplicación de pruebas unidades de chorizo </v>
      </c>
      <c r="H49" s="45">
        <v>1</v>
      </c>
      <c r="I49" s="45">
        <v>0.75</v>
      </c>
      <c r="J49" s="25">
        <f>IFERROR(I49/H49,0)</f>
        <v>0.75</v>
      </c>
      <c r="K49" s="26">
        <f>IF(J49&lt;M50,0,J49*$E49)</f>
        <v>1050</v>
      </c>
      <c r="M49" s="45">
        <v>0.95</v>
      </c>
    </row>
    <row r="50" spans="2:13" ht="14.25" customHeight="1">
      <c r="B50" s="309"/>
      <c r="C50" s="28" t="s">
        <v>39</v>
      </c>
      <c r="D50" s="58">
        <v>0.2</v>
      </c>
      <c r="E50" s="26">
        <f>B48*D50</f>
        <v>1400</v>
      </c>
      <c r="F50" s="23"/>
      <c r="G50" s="28" t="str">
        <f>C50</f>
        <v xml:space="preserve">Prospectación </v>
      </c>
      <c r="H50" s="45">
        <v>1</v>
      </c>
      <c r="I50" s="45">
        <v>0</v>
      </c>
      <c r="J50" s="25">
        <f>IFERROR(I50/H50,0)</f>
        <v>0</v>
      </c>
      <c r="K50" s="26">
        <f>IF(J50&lt;M51,0,J50*$E50)</f>
        <v>0</v>
      </c>
      <c r="M50" s="45">
        <v>0.75</v>
      </c>
    </row>
    <row r="51" spans="2:13" ht="14.25" customHeight="1">
      <c r="B51" s="309"/>
      <c r="C51" s="28" t="s">
        <v>40</v>
      </c>
      <c r="D51" s="21">
        <v>0.1</v>
      </c>
      <c r="E51" s="22">
        <f>+D51*B48</f>
        <v>700</v>
      </c>
      <c r="F51" s="23"/>
      <c r="G51" s="28" t="str">
        <f>C51</f>
        <v xml:space="preserve">Cierre de venta con productos nuevos AGR </v>
      </c>
      <c r="H51" s="45">
        <v>1</v>
      </c>
      <c r="I51" s="45">
        <v>1</v>
      </c>
      <c r="J51" s="25">
        <f>IFERROR(I51/H51,0)</f>
        <v>1</v>
      </c>
      <c r="K51" s="26">
        <f>IF(J51&lt;M52,0,J51*$E51)</f>
        <v>700</v>
      </c>
      <c r="M51" s="45">
        <v>0.75</v>
      </c>
    </row>
    <row r="52" spans="2:13" ht="14.25" customHeight="1">
      <c r="C52" s="30" t="s">
        <v>27</v>
      </c>
      <c r="D52" s="47">
        <f>SUM(D48:D51)</f>
        <v>0.99999999999999989</v>
      </c>
      <c r="E52" s="32">
        <f>SUM(E48:E51)</f>
        <v>7000</v>
      </c>
      <c r="F52" s="23"/>
      <c r="G52" s="33"/>
      <c r="I52" s="49"/>
      <c r="J52" s="34" t="s">
        <v>28</v>
      </c>
      <c r="K52" s="35">
        <f>SUM(K49:K51)</f>
        <v>1750</v>
      </c>
      <c r="M52" s="45">
        <v>0.75</v>
      </c>
    </row>
    <row r="53" spans="2:13" ht="15" customHeight="1">
      <c r="F53" s="23"/>
    </row>
    <row r="54" spans="2:13" ht="15" customHeight="1">
      <c r="F54" s="23"/>
      <c r="J54" s="38" t="s">
        <v>29</v>
      </c>
      <c r="K54" s="39">
        <f>+K52+K48</f>
        <v>5651.7981483690764</v>
      </c>
    </row>
    <row r="55" spans="2:13" ht="14.25" customHeight="1">
      <c r="F55" s="23"/>
      <c r="G55" s="40" t="s">
        <v>298</v>
      </c>
    </row>
    <row r="56" spans="2:13" ht="14.25" customHeight="1">
      <c r="F56" s="23"/>
    </row>
    <row r="57" spans="2:13" ht="15" customHeight="1"/>
    <row r="58" spans="2:13" ht="21" customHeight="1">
      <c r="C58" s="284" t="s">
        <v>299</v>
      </c>
      <c r="D58" s="285"/>
      <c r="E58" s="285"/>
      <c r="F58" s="285"/>
      <c r="G58" s="285"/>
      <c r="H58" s="285"/>
      <c r="I58" s="285"/>
      <c r="J58" s="286"/>
    </row>
    <row r="60" spans="2:13" ht="14.25" customHeight="1">
      <c r="C60" s="303" t="s">
        <v>2</v>
      </c>
      <c r="D60" s="303"/>
      <c r="E60" s="4" t="s">
        <v>3</v>
      </c>
      <c r="F60" s="4"/>
      <c r="G60" s="303" t="s">
        <v>4</v>
      </c>
      <c r="H60" s="303"/>
      <c r="I60" s="304" t="s">
        <v>3</v>
      </c>
      <c r="J60" s="304"/>
    </row>
    <row r="61" spans="2:13" ht="14.25" customHeight="1">
      <c r="B61" s="5" t="s">
        <v>5</v>
      </c>
      <c r="C61" s="6" t="s">
        <v>6</v>
      </c>
      <c r="D61" s="7" t="s">
        <v>7</v>
      </c>
      <c r="E61" s="8" t="s">
        <v>8</v>
      </c>
      <c r="F61" s="8" t="s">
        <v>9</v>
      </c>
      <c r="G61" s="6" t="s">
        <v>6</v>
      </c>
      <c r="H61" s="7" t="s">
        <v>7</v>
      </c>
      <c r="I61" s="8" t="s">
        <v>10</v>
      </c>
      <c r="J61" s="9" t="s">
        <v>9</v>
      </c>
    </row>
    <row r="62" spans="2:13" ht="14.25" customHeight="1">
      <c r="B62" s="10" t="s">
        <v>287</v>
      </c>
      <c r="C62" s="11">
        <v>103898.82017337</v>
      </c>
      <c r="D62" s="11">
        <v>105618.61689999999</v>
      </c>
      <c r="E62" s="11">
        <f>D62-C62</f>
        <v>1719.7967266299966</v>
      </c>
      <c r="F62" s="12">
        <f>D62/C62-1</f>
        <v>1.6552610739566376E-2</v>
      </c>
      <c r="G62" s="13">
        <v>3801156.4064897299</v>
      </c>
      <c r="H62" s="13">
        <v>3511107.04</v>
      </c>
      <c r="I62" s="13">
        <f>H62-G62</f>
        <v>-290049.36648972984</v>
      </c>
      <c r="J62" s="12">
        <f>H62/G62-1</f>
        <v>-7.6305559538283552E-2</v>
      </c>
    </row>
    <row r="64" spans="2:13" ht="14.25" customHeight="1">
      <c r="B64" s="305" t="s">
        <v>12</v>
      </c>
      <c r="C64" s="305"/>
      <c r="D64" s="305"/>
      <c r="E64" s="305"/>
      <c r="G64" s="306" t="s">
        <v>13</v>
      </c>
      <c r="H64" s="306"/>
      <c r="I64" s="306"/>
      <c r="J64" s="306"/>
      <c r="K64" s="306"/>
    </row>
    <row r="65" spans="2:13" ht="14.25" customHeight="1">
      <c r="B65" s="9" t="s">
        <v>14</v>
      </c>
      <c r="C65" s="9" t="s">
        <v>15</v>
      </c>
      <c r="D65" s="16" t="s">
        <v>16</v>
      </c>
      <c r="E65" s="9" t="s">
        <v>17</v>
      </c>
      <c r="F65" s="14"/>
      <c r="G65" s="9" t="s">
        <v>15</v>
      </c>
      <c r="H65" s="18" t="s">
        <v>18</v>
      </c>
      <c r="I65" s="9" t="s">
        <v>19</v>
      </c>
      <c r="J65" s="9" t="s">
        <v>20</v>
      </c>
      <c r="K65" s="9" t="s">
        <v>14</v>
      </c>
    </row>
    <row r="66" spans="2:13" ht="14.25" customHeight="1">
      <c r="B66" s="309">
        <v>10000</v>
      </c>
      <c r="C66" s="20" t="s">
        <v>22</v>
      </c>
      <c r="D66" s="58">
        <v>0.75</v>
      </c>
      <c r="E66" s="26">
        <f>B66*D66</f>
        <v>7500</v>
      </c>
      <c r="F66" s="17"/>
      <c r="G66" s="28" t="str">
        <f>C66</f>
        <v>Cumplimiento Presupuesto</v>
      </c>
      <c r="H66" s="41">
        <f>G62</f>
        <v>3801156.4064897299</v>
      </c>
      <c r="I66" s="41">
        <f>H62</f>
        <v>3511107.04</v>
      </c>
      <c r="J66" s="25">
        <f>IFERROR(I66/H66,0)</f>
        <v>0.92369444046171645</v>
      </c>
      <c r="K66" s="26">
        <f>IF(J66&lt;M67,0,J66*$E66)</f>
        <v>6927.7083034628731</v>
      </c>
      <c r="M66" s="9" t="s">
        <v>21</v>
      </c>
    </row>
    <row r="67" spans="2:13" ht="14.25" customHeight="1">
      <c r="B67" s="309"/>
      <c r="C67" s="20" t="s">
        <v>300</v>
      </c>
      <c r="D67" s="58">
        <v>0.1</v>
      </c>
      <c r="E67" s="26">
        <f>B66*D67</f>
        <v>1000</v>
      </c>
      <c r="F67" s="23"/>
      <c r="G67" s="28" t="str">
        <f>C67</f>
        <v xml:space="preserve">Conocimiento total de los 45 clientes de la cartera </v>
      </c>
      <c r="H67" s="45">
        <v>1</v>
      </c>
      <c r="I67" s="45">
        <v>0.85</v>
      </c>
      <c r="J67" s="25">
        <f>IFERROR(I67/H67,0)</f>
        <v>0.85</v>
      </c>
      <c r="K67" s="26">
        <f>IF(J67&lt;M68,0,J67*$E67)</f>
        <v>850</v>
      </c>
      <c r="M67" s="45">
        <v>0.8</v>
      </c>
    </row>
    <row r="68" spans="2:13" ht="28.5" customHeight="1">
      <c r="B68" s="309"/>
      <c r="C68" s="28" t="s">
        <v>301</v>
      </c>
      <c r="D68" s="58">
        <v>0.08</v>
      </c>
      <c r="E68" s="26">
        <f>B66*D68</f>
        <v>800</v>
      </c>
      <c r="F68" s="23"/>
      <c r="G68" s="28" t="str">
        <f>C68</f>
        <v>Desarrollo e implementacion de procedimiento de nuevos productos ( validaciones , pruebas etc)</v>
      </c>
      <c r="H68" s="45">
        <v>1</v>
      </c>
      <c r="I68" s="45">
        <v>0.75</v>
      </c>
      <c r="J68" s="25">
        <f>IFERROR(I68/H68,0)</f>
        <v>0.75</v>
      </c>
      <c r="K68" s="26">
        <f>IF(J68&lt;M69,0,J68*$E68)</f>
        <v>600</v>
      </c>
      <c r="M68" s="45">
        <v>0.85</v>
      </c>
    </row>
    <row r="69" spans="2:13" ht="28.5" customHeight="1">
      <c r="B69" s="309"/>
      <c r="C69" s="28" t="s">
        <v>302</v>
      </c>
      <c r="D69" s="21">
        <v>7.0000000000000007E-2</v>
      </c>
      <c r="E69" s="22">
        <f>+D69*B66</f>
        <v>700.00000000000011</v>
      </c>
      <c r="F69" s="23"/>
      <c r="G69" s="28" t="str">
        <f>C69</f>
        <v>Actualizacion de fichas de cliente, CRM totalmente actualizado y respetando todas las etapas del proceso.</v>
      </c>
      <c r="H69" s="45">
        <v>1</v>
      </c>
      <c r="I69" s="45">
        <v>1</v>
      </c>
      <c r="J69" s="25">
        <f>IFERROR(I69/H69,0)</f>
        <v>1</v>
      </c>
      <c r="K69" s="26">
        <f>IF(J69&lt;M70,0,J69*$E69)</f>
        <v>700.00000000000011</v>
      </c>
      <c r="M69" s="45">
        <v>0.75</v>
      </c>
    </row>
    <row r="70" spans="2:13" ht="14.25" customHeight="1">
      <c r="C70" s="30" t="s">
        <v>27</v>
      </c>
      <c r="D70" s="47">
        <f>SUM(D66:D69)</f>
        <v>1</v>
      </c>
      <c r="E70" s="32">
        <f>SUM(E66:E69)</f>
        <v>10000</v>
      </c>
      <c r="F70" s="23"/>
      <c r="G70" s="33"/>
      <c r="I70" s="49"/>
      <c r="J70" s="34" t="s">
        <v>28</v>
      </c>
      <c r="K70" s="35">
        <f>SUM(K67:K69)</f>
        <v>2150</v>
      </c>
      <c r="M70" s="45">
        <v>0.75</v>
      </c>
    </row>
    <row r="71" spans="2:13" ht="15" customHeight="1">
      <c r="F71" s="23"/>
    </row>
    <row r="72" spans="2:13" ht="15" customHeight="1">
      <c r="F72" s="33"/>
      <c r="J72" s="38" t="s">
        <v>29</v>
      </c>
      <c r="K72" s="39">
        <f>+K70+K66</f>
        <v>9077.708303462874</v>
      </c>
    </row>
    <row r="73" spans="2:13" ht="14.25" customHeight="1">
      <c r="F73" s="33"/>
    </row>
    <row r="167" spans="14:17" ht="14.25" customHeight="1">
      <c r="N167" s="1">
        <v>3</v>
      </c>
      <c r="O167" s="1">
        <v>3.1</v>
      </c>
      <c r="P167" s="1">
        <f>+O167-N167</f>
        <v>0.10000000000000009</v>
      </c>
      <c r="Q167" s="1">
        <f>+P167/O167</f>
        <v>3.2258064516129059E-2</v>
      </c>
    </row>
    <row r="171" spans="14:17" ht="14.25" customHeight="1">
      <c r="P171" s="23">
        <f>2000*3*12</f>
        <v>72000</v>
      </c>
    </row>
    <row r="174" spans="14:17" ht="14.25" customHeight="1">
      <c r="P174" s="1">
        <f>2000*12</f>
        <v>24000</v>
      </c>
    </row>
  </sheetData>
  <mergeCells count="27">
    <mergeCell ref="B64:E64"/>
    <mergeCell ref="G64:K64"/>
    <mergeCell ref="B66:B69"/>
    <mergeCell ref="B46:E46"/>
    <mergeCell ref="G46:K46"/>
    <mergeCell ref="B48:B51"/>
    <mergeCell ref="C60:D60"/>
    <mergeCell ref="G60:H60"/>
    <mergeCell ref="I60:J60"/>
    <mergeCell ref="B28:E28"/>
    <mergeCell ref="B30:B33"/>
    <mergeCell ref="C42:D42"/>
    <mergeCell ref="G42:H42"/>
    <mergeCell ref="I42:J42"/>
    <mergeCell ref="B9:E9"/>
    <mergeCell ref="G9:K9"/>
    <mergeCell ref="B11:B13"/>
    <mergeCell ref="C22:J22"/>
    <mergeCell ref="C24:D24"/>
    <mergeCell ref="G24:H24"/>
    <mergeCell ref="I24:J24"/>
    <mergeCell ref="C1:I1"/>
    <mergeCell ref="C3:J3"/>
    <mergeCell ref="C5:D5"/>
    <mergeCell ref="E5:F5"/>
    <mergeCell ref="G5:H5"/>
    <mergeCell ref="I5:J5"/>
  </mergeCells>
  <conditionalFormatting sqref="J62">
    <cfRule type="iconSet" priority="2">
      <iconSet iconSet="3Arrows">
        <cfvo type="percent" val="0"/>
        <cfvo type="num" val="0"/>
        <cfvo type="num" val="0"/>
      </iconSet>
    </cfRule>
  </conditionalFormatting>
  <conditionalFormatting sqref="F62">
    <cfRule type="iconSet" priority="3">
      <iconSet iconSet="3Arrows">
        <cfvo type="percent" val="0"/>
        <cfvo type="num" val="0"/>
        <cfvo type="num" val="0"/>
      </iconSet>
    </cfRule>
  </conditionalFormatting>
  <conditionalFormatting sqref="J44">
    <cfRule type="iconSet" priority="4">
      <iconSet iconSet="3Arrows">
        <cfvo type="percent" val="0"/>
        <cfvo type="num" val="0"/>
        <cfvo type="num" val="0"/>
      </iconSet>
    </cfRule>
  </conditionalFormatting>
  <conditionalFormatting sqref="F44">
    <cfRule type="iconSet" priority="5">
      <iconSet iconSet="3Arrows">
        <cfvo type="percent" val="0"/>
        <cfvo type="num" val="0"/>
        <cfvo type="num" val="0"/>
      </iconSet>
    </cfRule>
  </conditionalFormatting>
  <conditionalFormatting sqref="J26">
    <cfRule type="iconSet" priority="6">
      <iconSet iconSet="3Arrows">
        <cfvo type="percent" val="0"/>
        <cfvo type="num" val="0"/>
        <cfvo type="num" val="0"/>
      </iconSet>
    </cfRule>
  </conditionalFormatting>
  <conditionalFormatting sqref="F26">
    <cfRule type="iconSet" priority="7">
      <iconSet iconSet="3Arrows">
        <cfvo type="percent" val="0"/>
        <cfvo type="num" val="0"/>
        <cfvo type="num" val="0"/>
      </iconSet>
    </cfRule>
  </conditionalFormatting>
  <conditionalFormatting sqref="J7">
    <cfRule type="iconSet" priority="8">
      <iconSet iconSet="3Arrows">
        <cfvo type="percent" val="0"/>
        <cfvo type="num" val="0"/>
        <cfvo type="num" val="0"/>
      </iconSet>
    </cfRule>
  </conditionalFormatting>
  <conditionalFormatting sqref="F7">
    <cfRule type="iconSet" priority="9">
      <iconSet iconSet="3Arrows">
        <cfvo type="percent" val="0"/>
        <cfvo type="num" val="0"/>
        <cfvo type="num" val="0"/>
      </iconSet>
    </cfRule>
  </conditionalFormatting>
  <pageMargins left="0.25" right="0.25" top="0.75" bottom="0.75" header="0.511811023622047" footer="0.511811023622047"/>
  <pageSetup fitToHeight="3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14</vt:i4>
      </vt:variant>
    </vt:vector>
  </HeadingPairs>
  <TitlesOfParts>
    <vt:vector size="33" baseType="lpstr">
      <vt:lpstr>ENERO</vt:lpstr>
      <vt:lpstr>FEBRERO</vt:lpstr>
      <vt:lpstr>ESSENTIA FEB</vt:lpstr>
      <vt:lpstr>MARZO</vt:lpstr>
      <vt:lpstr>ESSENTIA MAR</vt:lpstr>
      <vt:lpstr>ABRIL</vt:lpstr>
      <vt:lpstr>ESSENTIA ABR</vt:lpstr>
      <vt:lpstr>MAYO</vt:lpstr>
      <vt:lpstr>ESSENTIA MAYO</vt:lpstr>
      <vt:lpstr>JUNIO</vt:lpstr>
      <vt:lpstr>JULIO</vt:lpstr>
      <vt:lpstr>AGOSTO </vt:lpstr>
      <vt:lpstr>SEPT</vt:lpstr>
      <vt:lpstr>Hoja1</vt:lpstr>
      <vt:lpstr>4o TRIM</vt:lpstr>
      <vt:lpstr>Bono</vt:lpstr>
      <vt:lpstr>Hoja2</vt:lpstr>
      <vt:lpstr>Check SONIA</vt:lpstr>
      <vt:lpstr>DICIEMBRE </vt:lpstr>
      <vt:lpstr>ABRIL!Área_de_impresión</vt:lpstr>
      <vt:lpstr>'AGOSTO '!Área_de_impresión</vt:lpstr>
      <vt:lpstr>'DICIEMBRE '!Área_de_impresión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SEPT!Área_de_impresión</vt:lpstr>
      <vt:lpstr>'AGOSTO '!Títulos_a_imprimir</vt:lpstr>
      <vt:lpstr>JULIO!Títulos_a_imprimir</vt:lpstr>
      <vt:lpstr>JUNIO!Títulos_a_imprimir</vt:lpstr>
      <vt:lpstr>SEPT!Títulos_a_imprimir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Coordinador</dc:creator>
  <dc:description/>
  <cp:lastModifiedBy>Juan Antonio Felix Hernandez</cp:lastModifiedBy>
  <cp:revision>0</cp:revision>
  <cp:lastPrinted>2026-07-28T17:54:04Z</cp:lastPrinted>
  <dcterms:created xsi:type="dcterms:W3CDTF">2018-05-14T17:45:06Z</dcterms:created>
  <dcterms:modified xsi:type="dcterms:W3CDTF">2026-08-17T23:13:37Z</dcterms:modified>
  <dc:language>en-US</dc:language>
</cp:coreProperties>
</file>